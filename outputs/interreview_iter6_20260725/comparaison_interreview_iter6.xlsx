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7d5d7a869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unior Raw" sheetId="1" r:id="R3bcede420dda4f5d"/>
    <x:sheet xmlns:r="http://schemas.openxmlformats.org/officeDocument/2006/relationships" name="PH Raw" sheetId="2" r:id="Rb077425f51fa4d8a"/>
    <x:sheet xmlns:r="http://schemas.openxmlformats.org/officeDocument/2006/relationships" name="Comparaison" sheetId="3" r:id="R9846969ac1e84cc6"/>
    <x:sheet xmlns:r="http://schemas.openxmlformats.org/officeDocument/2006/relationships" name="Desaccords" sheetId="4" r:id="R58ba827ef4574af7"/>
    <x:sheet xmlns:r="http://schemas.openxmlformats.org/officeDocument/2006/relationships" name="Calculs" sheetId="5" r:id="R2761b71e5e6e476a"/>
    <x:sheet xmlns:r="http://schemas.openxmlformats.org/officeDocument/2006/relationships" name="Correction masque" sheetId="6" r:id="R525fbe193a714583"/>
    <x:sheet xmlns:r="http://schemas.openxmlformats.org/officeDocument/2006/relationships" name="Synthese" sheetId="7" r:id="Rd168c41fbf6542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%"/>
    <x:numFmt numFmtId="202" formatCode="#,##0"/>
  </x:numFmts>
  <x:fonts count="9">
    <x:font>
      <x:sz val="11"/>
      <x:name val="Carlito"/>
    </x:font>
    <x:font>
      <x:b/>
      <x:sz val="11"/>
      <x:color rgb="FFFFFFFF"/>
      <x:name val="Carlito"/>
    </x:font>
    <x:font>
      <x:sz val="10"/>
      <x:color rgb="FF374151"/>
      <x:name val="Carlito"/>
    </x:font>
    <x:font>
      <x:i/>
      <x:sz val="11"/>
      <x:color rgb="FF37415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sz val="9"/>
      <x:color rgb="FF374151"/>
      <x:name val="Carlito"/>
    </x:font>
    <x:font>
      <x:b/>
      <x:sz val="12"/>
      <x:color rgb="FFFFFFFF"/>
      <x:name val="Carlito"/>
    </x:font>
    <x:font>
      <x:sz val="11"/>
      <x:color rgb="FF37415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B45309"/>
      </x:patternFill>
    </x:fill>
    <x:fill>
      <x:patternFill patternType="solid">
        <x:fgColor rgb="FFFFFFFF"/>
      </x:patternFill>
    </x:fill>
    <x:fill>
      <x:patternFill patternType="solid">
        <x:fgColor rgb="FFDCE6F1"/>
      </x:patternFill>
    </x:fill>
    <x:fill>
      <x:patternFill patternType="solid">
        <x:fgColor rgb="FFDDF3F0"/>
      </x:patternFill>
    </x:fill>
  </x:fills>
  <x:borders count="14">
    <x:border/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200" fontId="1" fillId="2" borderId="3" xfId="0" applyNumberFormat="1" applyFont="1" applyFill="1" applyBorder="1" applyAlignment="1">
      <x:alignment horizontal="center" vertical="center" wrapText="1"/>
    </x:xf>
    <x:xf numFmtId="200" fontId="1" fillId="2" borderId="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6" xfId="0" applyNumberFormat="1" applyFont="1" applyFill="1" applyBorder="1" applyAlignment="1">
      <x:alignment wrapText="1"/>
    </x:xf>
    <x:xf numFmtId="0" fontId="1" fillId="4" borderId="7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6" xfId="0" applyNumberFormat="1" applyFont="1" applyFill="1" applyBorder="1" applyAlignment="1">
      <x:alignment horizontal="center" wrapText="1"/>
    </x:xf>
    <x:xf numFmtId="0" fontId="1" fillId="4" borderId="7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6" xfId="0" applyNumberFormat="1" applyFont="1" applyFill="1" applyBorder="1" applyAlignment="1">
      <x:alignment horizontal="center" wrapText="1"/>
    </x:xf>
    <x:xf numFmtId="0" fontId="1" fillId="5" borderId="7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1" fillId="5" borderId="6" xfId="0" applyNumberFormat="1" applyFont="1" applyFill="1" applyBorder="1" applyAlignment="1">
      <x:alignment horizontal="center" vertical="center" wrapText="1"/>
    </x:xf>
    <x:xf numFmtId="0" fontId="1" fillId="5" borderId="7" xfId="0" applyNumberFormat="1" applyFont="1" applyFill="1" applyBorder="1" applyAlignment="1">
      <x:alignment horizontal="center" vertical="center" wrapText="1"/>
    </x:xf>
    <x:xf numFmtId="0" fontId="2" fillId="6" borderId="9" xfId="0" applyNumberFormat="1" applyFont="1" applyFill="1" applyBorder="1" applyAlignment="1">
      <x:alignment vertical="center"/>
    </x:xf>
    <x:xf numFmtId="0" fontId="2" fillId="6" borderId="12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1" fontId="2" fillId="0" borderId="10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1" fontId="2" fillId="0" borderId="12" xfId="0" applyNumberFormat="1" applyFont="1" applyFill="1" applyBorder="1" applyAlignment="1">
      <x:alignment vertical="center"/>
    </x:xf>
    <x:xf numFmtId="201" fontId="2" fillId="0" borderId="13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0" fontId="2" fillId="0" borderId="12" xfId="0" applyNumberFormat="1" applyFont="1" applyFill="1" applyBorder="1" applyAlignment="1">
      <x:alignment vertical="center"/>
    </x:xf>
    <x:xf numFmtId="200" fontId="2" fillId="0" borderId="13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202" fontId="2" fillId="0" borderId="8" xfId="0" applyNumberFormat="1" applyFont="1" applyFill="1" applyBorder="1" applyAlignment="1">
      <x:alignment vertical="center"/>
    </x:xf>
    <x:xf numFmtId="202" fontId="2" fillId="0" borderId="9" xfId="0" applyNumberFormat="1" applyFont="1" applyFill="1" applyBorder="1" applyAlignment="1">
      <x:alignment vertical="center"/>
    </x:xf>
    <x:xf numFmtId="202" fontId="2" fillId="0" borderId="10" xfId="0" applyNumberFormat="1" applyFont="1" applyFill="1" applyBorder="1" applyAlignment="1">
      <x:alignment vertical="center"/>
    </x:xf>
    <x:xf numFmtId="202" fontId="2" fillId="0" borderId="11" xfId="0" applyNumberFormat="1" applyFont="1" applyFill="1" applyBorder="1" applyAlignment="1">
      <x:alignment vertical="center"/>
    </x:xf>
    <x:xf numFmtId="202" fontId="2" fillId="0" borderId="12" xfId="0" applyNumberFormat="1" applyFont="1" applyFill="1" applyBorder="1" applyAlignment="1">
      <x:alignment vertical="center"/>
    </x:xf>
    <x:xf numFmtId="202" fontId="2" fillId="0" borderId="13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1401e549c94e40" /><Relationship Type="http://schemas.openxmlformats.org/officeDocument/2006/relationships/theme" Target="/xl/theme/theme1.xml" Id="R7094be3610864bac" /><Relationship Type="http://schemas.openxmlformats.org/officeDocument/2006/relationships/sharedStrings" Target="/xl/sharedStrings.xml" Id="Rf4a042435d774098" /><Relationship Type="http://schemas.openxmlformats.org/officeDocument/2006/relationships/worksheet" Target="/xl/worksheets/sheet1.xml" Id="R3bcede420dda4f5d" /><Relationship Type="http://schemas.openxmlformats.org/officeDocument/2006/relationships/worksheet" Target="/xl/worksheets/sheet2.xml" Id="Rb077425f51fa4d8a" /><Relationship Type="http://schemas.openxmlformats.org/officeDocument/2006/relationships/worksheet" Target="/xl/worksheets/sheet3.xml" Id="R9846969ac1e84cc6" /><Relationship Type="http://schemas.openxmlformats.org/officeDocument/2006/relationships/worksheet" Target="/xl/worksheets/sheet4.xml" Id="R58ba827ef4574af7" /><Relationship Type="http://schemas.openxmlformats.org/officeDocument/2006/relationships/worksheet" Target="/xl/worksheets/sheet5.xml" Id="R2761b71e5e6e476a" /><Relationship Type="http://schemas.openxmlformats.org/officeDocument/2006/relationships/worksheet" Target="/xl/worksheets/sheet6.xml" Id="R525fbe193a714583" /><Relationship Type="http://schemas.openxmlformats.org/officeDocument/2006/relationships/worksheet" Target="/xl/worksheets/sheet7.xml" Id="Rd168c41fbf65422d" /></Relationships>
</file>

<file path=xl/tables/table1.xml><?xml version="1.0" encoding="utf-8"?>
<x:table xmlns:x="http://schemas.openxmlformats.org/spreadsheetml/2006/main" id="1" name="JuniorRawTable" displayName="JuniorRawTable" ref="A1:Q17" headerRowCount="1" totalsRowCount="0" totalsRowShown="0">
  <x:tableColumns count="17">
    <x:tableColumn id="1" name="slide_id"/>
    <x:tableColumn id="2" name="component_id"/>
    <x:tableColumn id="3" name="n_patches"/>
    <x:tableColumn id="4" name="max_prob"/>
    <x:tableColumn id="5" name="mean_prob"/>
    <x:tableColumn id="6" name="top_x"/>
    <x:tableColumn id="7" name="top_y"/>
    <x:tableColumn id="8" name="contact_sheet"/>
    <x:tableColumn id="9" name="overview"/>
    <x:tableColumn id="10" name="review_category"/>
    <x:tableColumn id="11" name="include_as_hard_negative"/>
    <x:tableColumn id="12" name="notes"/>
    <x:tableColumn id="13" name="binary_label"/>
    <x:tableColumn id="14" name="morphology_category"/>
    <x:tableColumn id="15" name="difficulty_type"/>
    <x:tableColumn id="16" name="reviewed_image"/>
    <x:tableColumn id="17" name="sorted_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RawTable" displayName="PHRawTable" ref="A1:Q17" headerRowCount="1" totalsRowCount="0" totalsRowShown="0">
  <x:tableColumns count="17">
    <x:tableColumn id="1" name="slide_id"/>
    <x:tableColumn id="2" name="component_id"/>
    <x:tableColumn id="3" name="n_patches"/>
    <x:tableColumn id="4" name="max_prob"/>
    <x:tableColumn id="5" name="mean_prob"/>
    <x:tableColumn id="6" name="top_x"/>
    <x:tableColumn id="7" name="top_y"/>
    <x:tableColumn id="8" name="contact_sheet"/>
    <x:tableColumn id="9" name="overview"/>
    <x:tableColumn id="10" name="review_category"/>
    <x:tableColumn id="11" name="include_as_hard_negative"/>
    <x:tableColumn id="12" name="notes"/>
    <x:tableColumn id="13" name="binary_label"/>
    <x:tableColumn id="14" name="morphology_category"/>
    <x:tableColumn id="15" name="difficulty_type"/>
    <x:tableColumn id="16" name="reviewed_image"/>
    <x:tableColumn id="17" name="sorted_pa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risonTable" displayName="ComparisonTable" ref="A1:V17" headerRowCount="1" totalsRowCount="0" totalsRowShown="0">
  <x:tableColumns count="22">
    <x:tableColumn id="1" name="Cle"/>
    <x:tableColumn id="2" name="Lame"/>
    <x:tableColumn id="3" name="Composante"/>
    <x:tableColumn id="4" name="Nb patchs"/>
    <x:tableColumn id="5" name="Binaire junior"/>
    <x:tableColumn id="6" name="Binaire PH"/>
    <x:tableColumn id="7" name="Accord binaire"/>
    <x:tableColumn id="8" name="Morphologie junior"/>
    <x:tableColumn id="9" name="Morphologie PH"/>
    <x:tableColumn id="10" name="Accord morphologie"/>
    <x:tableColumn id="11" name="Difficulte junior"/>
    <x:tableColumn id="12" name="Difficulte PH"/>
    <x:tableColumn id="13" name="Accord difficulte"/>
    <x:tableColumn id="14" name="Inclusion junior"/>
    <x:tableColumn id="15" name="Inclusion PH"/>
    <x:tableColumn id="16" name="Accord inclusion"/>
    <x:tableColumn id="17" name="Accord complet"/>
    <x:tableColumn id="18" name="Champs a discuter"/>
    <x:tableColumn id="19" name="Notes junior"/>
    <x:tableColumn id="20" name="Notes PH"/>
    <x:tableColumn id="21" name="Planche contact"/>
    <x:tableColumn id="22" name="Vue WS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sagreementsTable" displayName="DisagreementsTable" ref="A1:K14" headerRowCount="1" totalsRowCount="0" totalsRowShown="0">
  <x:tableColumns count="11">
    <x:tableColumn id="1" name="Lame"/>
    <x:tableColumn id="2" name="Composante"/>
    <x:tableColumn id="3" name="Morphologie junior"/>
    <x:tableColumn id="4" name="Morphologie PH"/>
    <x:tableColumn id="5" name="Difficulte junior"/>
    <x:tableColumn id="6" name="Difficulte PH"/>
    <x:tableColumn id="7" name="Inclusion junior"/>
    <x:tableColumn id="8" name="Inclusion PH"/>
    <x:tableColumn id="9" name="Champs a discuter"/>
    <x:tableColumn id="10" name="Notes junior"/>
    <x:tableColumn id="11" name="Notes P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944bb9fb1143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949157ba654f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b06d7eaa8d746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ec6f4b0586547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6" hidden="0" customWidth="1"/>
    <x:col min="9" max="9" width="26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30" hidden="0" customWidth="1"/>
    <x:col min="17" max="17" width="30" hidden="0" customWidth="1"/>
  </x:cols>
  <x:sheetData>
    <x:row r="1">
      <x:c r="A1" s="24" t="str">
        <x:v>slide_id</x:v>
      </x:c>
      <x:c r="B1" s="25" t="str">
        <x:v>component_id</x:v>
      </x:c>
      <x:c r="C1" s="25" t="str">
        <x:v>n_patches</x:v>
      </x:c>
      <x:c r="D1" s="44" t="str">
        <x:v>max_prob</x:v>
      </x:c>
      <x:c r="E1" s="44" t="str">
        <x:v>mean_prob</x:v>
      </x:c>
      <x:c r="F1" s="25" t="str">
        <x:v>top_x</x:v>
      </x:c>
      <x:c r="G1" s="25" t="str">
        <x:v>top_y</x:v>
      </x:c>
      <x:c r="H1" s="25" t="str">
        <x:v>contact_sheet</x:v>
      </x:c>
      <x:c r="I1" s="25" t="str">
        <x:v>overview</x:v>
      </x:c>
      <x:c r="J1" s="25" t="str">
        <x:v>review_category</x:v>
      </x:c>
      <x:c r="K1" s="25" t="str">
        <x:v>include_as_hard_negative</x:v>
      </x:c>
      <x:c r="L1" s="25" t="str">
        <x:v>notes</x:v>
      </x:c>
      <x:c r="M1" s="25" t="str">
        <x:v>binary_label</x:v>
      </x:c>
      <x:c r="N1" s="25" t="str">
        <x:v>morphology_category</x:v>
      </x:c>
      <x:c r="O1" s="25" t="str">
        <x:v>difficulty_type</x:v>
      </x:c>
      <x:c r="P1" s="25" t="str">
        <x:v>reviewed_image</x:v>
      </x:c>
      <x:c r="Q1" s="26" t="str">
        <x:v>sorted_path</x:v>
      </x:c>
    </x:row>
    <x:row r="2">
      <x:c r="A2" s="38" t="str">
        <x:v>normal_034</x:v>
      </x:c>
      <x:c r="B2" s="38" t="str">
        <x:v>1</x:v>
      </x:c>
      <x:c r="C2" s="38" t="str">
        <x:v>82</x:v>
      </x:c>
      <x:c r="D2" s="38" t="str">
        <x:v>0.9998586177825928</x:v>
      </x:c>
      <x:c r="E2" s="38" t="str">
        <x:v>0.8695266290408808</x:v>
      </x:c>
      <x:c r="F2" s="38" t="str">
        <x:v>47488</x:v>
      </x:c>
      <x:c r="G2" s="38" t="str">
        <x:v>88320</x:v>
      </x:c>
      <x:c r="H2" s="38" t="str">
        <x:v>images/normal_034/normal_034_c1_normal_034_component_01_contact_sheet_1.png</x:v>
      </x:c>
      <x:c r="I2" s="38" t="str">
        <x:v>overviews/normal_034/normal_034_c1_normal_034_overview_1.png</x:v>
      </x:c>
      <x:c r="J2" s="38" t="str">
        <x:v>fibrosis_stroma_benign</x:v>
      </x:c>
      <x:c r="K2" s="38" t="str">
        <x:v>yes</x:v>
      </x:c>
      <x:c r="L2" s="38" t="str"/>
      <x:c r="M2" s="38" t="str">
        <x:v>normal</x:v>
      </x:c>
      <x:c r="N2" s="38" t="str">
        <x:v>fibrosis_stroma_benign</x:v>
      </x:c>
      <x:c r="O2" s="38" t="str">
        <x:v>hard_negative</x:v>
      </x:c>
      <x:c r="P2" s="38" t="str">
        <x:v>images\normal_034\normal_034_c1_normal_034_component_01_contact_sheet_1.png</x:v>
      </x:c>
      <x:c r="Q2" s="38" t="str">
        <x:v>review_sorted_junior\fibrosis_stroma_benign\slide_id=normal_034_component_id=1_normal_034_c1_normal_034_component_01_contact_sheet_1.png</x:v>
      </x:c>
    </x:row>
    <x:row r="3">
      <x:c r="A3" s="39" t="str">
        <x:v>normal_034</x:v>
      </x:c>
      <x:c r="B3" s="39" t="str">
        <x:v>2</x:v>
      </x:c>
      <x:c r="C3" s="39" t="str">
        <x:v>52</x:v>
      </x:c>
      <x:c r="D3" s="39" t="str">
        <x:v>0.9993828535079956</x:v>
      </x:c>
      <x:c r="E3" s="39" t="str">
        <x:v>0.847486593402349</x:v>
      </x:c>
      <x:c r="F3" s="39" t="str">
        <x:v>60800</x:v>
      </x:c>
      <x:c r="G3" s="39" t="str">
        <x:v>84224</x:v>
      </x:c>
      <x:c r="H3" s="39" t="str">
        <x:v>images/normal_034/normal_034_c2_normal_034_component_02_contact_sheet_1.png</x:v>
      </x:c>
      <x:c r="I3" s="39" t="str">
        <x:v>overviews/normal_034/normal_034_c1_normal_034_overview_1.png</x:v>
      </x:c>
      <x:c r="J3" s="39" t="str">
        <x:v>vessel_lumen</x:v>
      </x:c>
      <x:c r="K3" s="39" t="str">
        <x:v>yes</x:v>
      </x:c>
      <x:c r="L3" s="39" t="str"/>
      <x:c r="M3" s="39" t="str">
        <x:v>normal</x:v>
      </x:c>
      <x:c r="N3" s="39" t="str">
        <x:v>vessel_lumen</x:v>
      </x:c>
      <x:c r="O3" s="39" t="str">
        <x:v>hard_negative</x:v>
      </x:c>
      <x:c r="P3" s="39" t="str">
        <x:v>images\normal_034\normal_034_c2_normal_034_component_02_contact_sheet_1.png</x:v>
      </x:c>
      <x:c r="Q3" s="39" t="str">
        <x:v>review_sorted_junior\vessel_lumen\slide_id=normal_034_component_id=2_normal_034_c2_normal_034_component_02_contact_sheet_1.png</x:v>
      </x:c>
    </x:row>
    <x:row r="4">
      <x:c r="A4" s="39" t="str">
        <x:v>normal_034</x:v>
      </x:c>
      <x:c r="B4" s="39" t="str">
        <x:v>3</x:v>
      </x:c>
      <x:c r="C4" s="39" t="str">
        <x:v>47</x:v>
      </x:c>
      <x:c r="D4" s="39" t="str">
        <x:v>0.9949735403060913</x:v>
      </x:c>
      <x:c r="E4" s="39" t="str">
        <x:v>0.8134822667913234</x:v>
      </x:c>
      <x:c r="F4" s="39" t="str">
        <x:v>49536</x:v>
      </x:c>
      <x:c r="G4" s="39" t="str">
        <x:v>66304</x:v>
      </x:c>
      <x:c r="H4" s="39" t="str">
        <x:v>images/normal_034/normal_034_c3_normal_034_component_03_contact_sheet_1.png</x:v>
      </x:c>
      <x:c r="I4" s="39" t="str">
        <x:v>overviews/normal_034/normal_034_c1_normal_034_overview_1.png</x:v>
      </x:c>
      <x:c r="J4" s="39" t="str">
        <x:v>vessel_lumen</x:v>
      </x:c>
      <x:c r="K4" s="39" t="str">
        <x:v>yes</x:v>
      </x:c>
      <x:c r="L4" s="39" t="str"/>
      <x:c r="M4" s="39" t="str">
        <x:v>normal</x:v>
      </x:c>
      <x:c r="N4" s="39" t="str">
        <x:v>vessel_lumen</x:v>
      </x:c>
      <x:c r="O4" s="39" t="str">
        <x:v>hard_negative</x:v>
      </x:c>
      <x:c r="P4" s="39" t="str">
        <x:v>images\normal_034\normal_034_c3_normal_034_component_03_contact_sheet_1.png</x:v>
      </x:c>
      <x:c r="Q4" s="39" t="str">
        <x:v>review_sorted_junior\vessel_lumen\slide_id=normal_034_component_id=3_normal_034_c3_normal_034_component_03_contact_sheet_1.png</x:v>
      </x:c>
    </x:row>
    <x:row r="5">
      <x:c r="A5" s="39" t="str">
        <x:v>normal_034</x:v>
      </x:c>
      <x:c r="B5" s="39" t="str">
        <x:v>4</x:v>
      </x:c>
      <x:c r="C5" s="39" t="str">
        <x:v>45</x:v>
      </x:c>
      <x:c r="D5" s="39" t="str">
        <x:v>0.9904414415359497</x:v>
      </x:c>
      <x:c r="E5" s="39" t="str">
        <x:v>0.7871211542023553</x:v>
      </x:c>
      <x:c r="F5" s="39" t="str">
        <x:v>17920</x:v>
      </x:c>
      <x:c r="G5" s="39" t="str">
        <x:v>137728</x:v>
      </x:c>
      <x:c r="H5" s="39" t="str">
        <x:v>images/normal_034/normal_034_c4_normal_034_component_04_contact_sheet_1.png</x:v>
      </x:c>
      <x:c r="I5" s="39" t="str">
        <x:v>overviews/normal_034/normal_034_c1_normal_034_overview_1.png</x:v>
      </x:c>
      <x:c r="J5" s="39" t="str">
        <x:v>generic_artifact</x:v>
      </x:c>
      <x:c r="K5" s="39" t="str">
        <x:v>yes</x:v>
      </x:c>
      <x:c r="L5" s="39" t="str"/>
      <x:c r="M5" s="39" t="str">
        <x:v>normal</x:v>
      </x:c>
      <x:c r="N5" s="39" t="str">
        <x:v>generic_artifact</x:v>
      </x:c>
      <x:c r="O5" s="39" t="str">
        <x:v>hard_negative</x:v>
      </x:c>
      <x:c r="P5" s="39" t="str">
        <x:v>images\normal_034\normal_034_c4_normal_034_component_04_contact_sheet_1.png</x:v>
      </x:c>
      <x:c r="Q5" s="39" t="str">
        <x:v>review_sorted_junior\generic_artifact\slide_id=normal_034_component_id=4_normal_034_c4_normal_034_component_04_contact_sheet_1.png</x:v>
      </x:c>
    </x:row>
    <x:row r="6">
      <x:c r="A6" s="39" t="str">
        <x:v>normal_035</x:v>
      </x:c>
      <x:c r="B6" s="39" t="str">
        <x:v>1</x:v>
      </x:c>
      <x:c r="C6" s="39" t="str">
        <x:v>99</x:v>
      </x:c>
      <x:c r="D6" s="39" t="str">
        <x:v>0.9979063272476196</x:v>
      </x:c>
      <x:c r="E6" s="39" t="str">
        <x:v>0.7672797188614354</x:v>
      </x:c>
      <x:c r="F6" s="39" t="str">
        <x:v>19072</x:v>
      </x:c>
      <x:c r="G6" s="39" t="str">
        <x:v>122240</x:v>
      </x:c>
      <x:c r="H6" s="39" t="str">
        <x:v>images/normal_035/normal_035_c1_normal_035_component_01_contact_sheet_1.png</x:v>
      </x:c>
      <x:c r="I6" s="39" t="str">
        <x:v>overviews/normal_035/normal_035_c1_normal_035_overview_1.png</x:v>
      </x:c>
      <x:c r="J6" s="39" t="str">
        <x:v>generic_artifact</x:v>
      </x:c>
      <x:c r="K6" s="39" t="str">
        <x:v>yes</x:v>
      </x:c>
      <x:c r="L6" s="39" t="str"/>
      <x:c r="M6" s="39" t="str">
        <x:v>normal</x:v>
      </x:c>
      <x:c r="N6" s="39" t="str">
        <x:v>generic_artifact</x:v>
      </x:c>
      <x:c r="O6" s="39" t="str">
        <x:v>hard_negative</x:v>
      </x:c>
      <x:c r="P6" s="39" t="str">
        <x:v>images\normal_035\normal_035_c1_normal_035_component_01_contact_sheet_1.png</x:v>
      </x:c>
      <x:c r="Q6" s="39" t="str">
        <x:v>review_sorted_junior\generic_artifact\slide_id=normal_035_component_id=1_normal_035_c1_normal_035_component_01_contact_sheet_1.png</x:v>
      </x:c>
    </x:row>
    <x:row r="7">
      <x:c r="A7" s="39" t="str">
        <x:v>normal_035</x:v>
      </x:c>
      <x:c r="B7" s="39" t="str">
        <x:v>2</x:v>
      </x:c>
      <x:c r="C7" s="39" t="str">
        <x:v>88</x:v>
      </x:c>
      <x:c r="D7" s="39" t="str">
        <x:v>0.9997764229774475</x:v>
      </x:c>
      <x:c r="E7" s="39" t="str">
        <x:v>0.8586394346573136</x:v>
      </x:c>
      <x:c r="F7" s="39" t="str">
        <x:v>12032</x:v>
      </x:c>
      <x:c r="G7" s="39" t="str">
        <x:v>134656</x:v>
      </x:c>
      <x:c r="H7" s="39" t="str">
        <x:v>images/normal_035/normal_035_c2_normal_035_component_02_contact_sheet_1.png</x:v>
      </x:c>
      <x:c r="I7" s="39" t="str">
        <x:v>overviews/normal_035/normal_035_c1_normal_035_overview_1.png</x:v>
      </x:c>
      <x:c r="J7" s="39" t="str">
        <x:v>fibrosis_stroma_benign</x:v>
      </x:c>
      <x:c r="K7" s="39" t="str">
        <x:v>yes</x:v>
      </x:c>
      <x:c r="L7" s="39" t="str"/>
      <x:c r="M7" s="39" t="str">
        <x:v>normal</x:v>
      </x:c>
      <x:c r="N7" s="39" t="str">
        <x:v>fibrosis_stroma_benign</x:v>
      </x:c>
      <x:c r="O7" s="39" t="str">
        <x:v>hard_negative</x:v>
      </x:c>
      <x:c r="P7" s="39" t="str">
        <x:v>images\normal_035\normal_035_c2_normal_035_component_02_contact_sheet_1.png</x:v>
      </x:c>
      <x:c r="Q7" s="39" t="str">
        <x:v>review_sorted_junior\fibrosis_stroma_benign\slide_id=normal_035_component_id=2_normal_035_c2_normal_035_component_02_contact_sheet_1.png</x:v>
      </x:c>
    </x:row>
    <x:row r="8">
      <x:c r="A8" s="39" t="str">
        <x:v>normal_035</x:v>
      </x:c>
      <x:c r="B8" s="39" t="str">
        <x:v>3</x:v>
      </x:c>
      <x:c r="C8" s="39" t="str">
        <x:v>80</x:v>
      </x:c>
      <x:c r="D8" s="39" t="str">
        <x:v>0.9997113347053528</x:v>
      </x:c>
      <x:c r="E8" s="39" t="str">
        <x:v>0.8591045364737511</x:v>
      </x:c>
      <x:c r="F8" s="39" t="str">
        <x:v>43776</x:v>
      </x:c>
      <x:c r="G8" s="39" t="str">
        <x:v>117888</x:v>
      </x:c>
      <x:c r="H8" s="39" t="str">
        <x:v>images/normal_035/normal_035_c3_normal_035_component_03_contact_sheet_1.png</x:v>
      </x:c>
      <x:c r="I8" s="39" t="str">
        <x:v>overviews/normal_035/normal_035_c1_normal_035_overview_1.png</x:v>
      </x:c>
      <x:c r="J8" s="39" t="str">
        <x:v>electrocoagulation_artifact</x:v>
      </x:c>
      <x:c r="K8" s="39" t="str">
        <x:v>yes</x:v>
      </x:c>
      <x:c r="L8" s="39" t="str"/>
      <x:c r="M8" s="39" t="str">
        <x:v>normal</x:v>
      </x:c>
      <x:c r="N8" s="39" t="str">
        <x:v>electrocoagulation_artifact</x:v>
      </x:c>
      <x:c r="O8" s="39" t="str">
        <x:v>hard_negative</x:v>
      </x:c>
      <x:c r="P8" s="39" t="str">
        <x:v>images\normal_035\normal_035_c3_normal_035_component_03_contact_sheet_1.png</x:v>
      </x:c>
      <x:c r="Q8" s="39" t="str">
        <x:v>review_sorted_junior\electrocoagulation_artifact\slide_id=normal_035_component_id=3_normal_035_c3_normal_035_component_03_contact_sheet_1.png</x:v>
      </x:c>
    </x:row>
    <x:row r="9">
      <x:c r="A9" s="39" t="str">
        <x:v>normal_035</x:v>
      </x:c>
      <x:c r="B9" s="39" t="str">
        <x:v>4</x:v>
      </x:c>
      <x:c r="C9" s="39" t="str">
        <x:v>68</x:v>
      </x:c>
      <x:c r="D9" s="39" t="str">
        <x:v>0.9990956783294678</x:v>
      </x:c>
      <x:c r="E9" s="39" t="str">
        <x:v>0.7747719384291593</x:v>
      </x:c>
      <x:c r="F9" s="39" t="str">
        <x:v>13056</x:v>
      </x:c>
      <x:c r="G9" s="39" t="str">
        <x:v>134272</x:v>
      </x:c>
      <x:c r="H9" s="39" t="str">
        <x:v>images/normal_035/normal_035_c4_normal_035_component_04_contact_sheet_1.png</x:v>
      </x:c>
      <x:c r="I9" s="39" t="str">
        <x:v>overviews/normal_035/normal_035_c1_normal_035_overview_1.png</x:v>
      </x:c>
      <x:c r="J9" s="39" t="str">
        <x:v>generic_artifact</x:v>
      </x:c>
      <x:c r="K9" s="39" t="str">
        <x:v>yes</x:v>
      </x:c>
      <x:c r="L9" s="39" t="str"/>
      <x:c r="M9" s="39" t="str">
        <x:v>normal</x:v>
      </x:c>
      <x:c r="N9" s="39" t="str">
        <x:v>generic_artifact</x:v>
      </x:c>
      <x:c r="O9" s="39" t="str">
        <x:v>hard_negative</x:v>
      </x:c>
      <x:c r="P9" s="39" t="str">
        <x:v>images\normal_035\normal_035_c4_normal_035_component_04_contact_sheet_1.png</x:v>
      </x:c>
      <x:c r="Q9" s="39" t="str">
        <x:v>review_sorted_junior\generic_artifact\slide_id=normal_035_component_id=4_normal_035_c4_normal_035_component_04_contact_sheet_1.png</x:v>
      </x:c>
    </x:row>
    <x:row r="10">
      <x:c r="A10" s="39" t="str">
        <x:v>normal_035</x:v>
      </x:c>
      <x:c r="B10" s="39" t="str">
        <x:v>5</x:v>
      </x:c>
      <x:c r="C10" s="39" t="str">
        <x:v>63</x:v>
      </x:c>
      <x:c r="D10" s="39" t="str">
        <x:v>0.9995996356010437</x:v>
      </x:c>
      <x:c r="E10" s="39" t="str">
        <x:v>0.8430073024734618</x:v>
      </x:c>
      <x:c r="F10" s="39" t="str">
        <x:v>13824</x:v>
      </x:c>
      <x:c r="G10" s="39" t="str">
        <x:v>138624</x:v>
      </x:c>
      <x:c r="H10" s="39" t="str">
        <x:v>images/normal_035/normal_035_c5_normal_035_component_05_contact_sheet_1.png</x:v>
      </x:c>
      <x:c r="I10" s="39" t="str">
        <x:v>overviews/normal_035/normal_035_c1_normal_035_overview_1.png</x:v>
      </x:c>
      <x:c r="J10" s="39" t="str">
        <x:v>fibrosis_stroma_benign</x:v>
      </x:c>
      <x:c r="K10" s="39" t="str">
        <x:v>yes</x:v>
      </x:c>
      <x:c r="L10" s="39" t="str"/>
      <x:c r="M10" s="39" t="str">
        <x:v>normal</x:v>
      </x:c>
      <x:c r="N10" s="39" t="str">
        <x:v>fibrosis_stroma_benign</x:v>
      </x:c>
      <x:c r="O10" s="39" t="str">
        <x:v>hard_negative</x:v>
      </x:c>
      <x:c r="P10" s="39" t="str">
        <x:v>images\normal_035\normal_035_c5_normal_035_component_05_contact_sheet_1.png</x:v>
      </x:c>
      <x:c r="Q10" s="39" t="str">
        <x:v>review_sorted_junior\fibrosis_stroma_benign\slide_id=normal_035_component_id=5_normal_035_c5_normal_035_component_05_contact_sheet_1.png</x:v>
      </x:c>
    </x:row>
    <x:row r="11">
      <x:c r="A11" s="39" t="str">
        <x:v>normal_035</x:v>
      </x:c>
      <x:c r="B11" s="39" t="str">
        <x:v>6</x:v>
      </x:c>
      <x:c r="C11" s="39" t="str">
        <x:v>55</x:v>
      </x:c>
      <x:c r="D11" s="39" t="str">
        <x:v>0.9999871253967285</x:v>
      </x:c>
      <x:c r="E11" s="39" t="str">
        <x:v>0.8782513065771623</x:v>
      </x:c>
      <x:c r="F11" s="39" t="str">
        <x:v>46592</x:v>
      </x:c>
      <x:c r="G11" s="39" t="str">
        <x:v>96128</x:v>
      </x:c>
      <x:c r="H11" s="39" t="str">
        <x:v>images/normal_035/normal_035_c6_normal_035_component_06_contact_sheet_1.png</x:v>
      </x:c>
      <x:c r="I11" s="39" t="str">
        <x:v>overviews/normal_035/normal_035_c1_normal_035_overview_1.png</x:v>
      </x:c>
      <x:c r="J11" s="39" t="str">
        <x:v>fibrosis_stroma_benign</x:v>
      </x:c>
      <x:c r="K11" s="39" t="str">
        <x:v>yes</x:v>
      </x:c>
      <x:c r="L11" s="39" t="str"/>
      <x:c r="M11" s="39" t="str">
        <x:v>normal</x:v>
      </x:c>
      <x:c r="N11" s="39" t="str">
        <x:v>fibrosis_stroma_benign</x:v>
      </x:c>
      <x:c r="O11" s="39" t="str">
        <x:v>hard_negative</x:v>
      </x:c>
      <x:c r="P11" s="39" t="str">
        <x:v>images\normal_035\normal_035_c6_normal_035_component_06_contact_sheet_1.png</x:v>
      </x:c>
      <x:c r="Q11" s="39" t="str">
        <x:v>review_sorted_junior\fibrosis_stroma_benign\slide_id=normal_035_component_id=6_normal_035_c6_normal_035_component_06_contact_sheet_1.png</x:v>
      </x:c>
    </x:row>
    <x:row r="12">
      <x:c r="A12" s="39" t="str">
        <x:v>normal_035</x:v>
      </x:c>
      <x:c r="B12" s="39" t="str">
        <x:v>7</x:v>
      </x:c>
      <x:c r="C12" s="39" t="str">
        <x:v>49</x:v>
      </x:c>
      <x:c r="D12" s="39" t="str">
        <x:v>0.9812213182449341</x:v>
      </x:c>
      <x:c r="E12" s="39" t="str">
        <x:v>0.73173588514328</x:v>
      </x:c>
      <x:c r="F12" s="39" t="str">
        <x:v>19200</x:v>
      </x:c>
      <x:c r="G12" s="39" t="str">
        <x:v>112384</x:v>
      </x:c>
      <x:c r="H12" s="39" t="str">
        <x:v>images/normal_035/normal_035_c7_normal_035_component_07_contact_sheet_1.png</x:v>
      </x:c>
      <x:c r="I12" s="39" t="str">
        <x:v>overviews/normal_035/normal_035_c1_normal_035_overview_1.png</x:v>
      </x:c>
      <x:c r="J12" s="39" t="str">
        <x:v>fibrosis_stroma_benign</x:v>
      </x:c>
      <x:c r="K12" s="39" t="str">
        <x:v>yes</x:v>
      </x:c>
      <x:c r="L12" s="39" t="str"/>
      <x:c r="M12" s="39" t="str">
        <x:v>normal</x:v>
      </x:c>
      <x:c r="N12" s="39" t="str">
        <x:v>fibrosis_stroma_benign</x:v>
      </x:c>
      <x:c r="O12" s="39" t="str">
        <x:v>hard_negative</x:v>
      </x:c>
      <x:c r="P12" s="39" t="str">
        <x:v>images\normal_035\normal_035_c7_normal_035_component_07_contact_sheet_1.png</x:v>
      </x:c>
      <x:c r="Q12" s="39" t="str">
        <x:v>review_sorted_junior\fibrosis_stroma_benign\slide_id=normal_035_component_id=7_normal_035_c7_normal_035_component_07_contact_sheet_1.png</x:v>
      </x:c>
    </x:row>
    <x:row r="13">
      <x:c r="A13" s="39" t="str">
        <x:v>normal_035</x:v>
      </x:c>
      <x:c r="B13" s="39" t="str">
        <x:v>8</x:v>
      </x:c>
      <x:c r="C13" s="39" t="str">
        <x:v>47</x:v>
      </x:c>
      <x:c r="D13" s="39" t="str">
        <x:v>0.9887270927429199</x:v>
      </x:c>
      <x:c r="E13" s="39" t="str">
        <x:v>0.7977401677598345</x:v>
      </x:c>
      <x:c r="F13" s="39" t="str">
        <x:v>8064</x:v>
      </x:c>
      <x:c r="G13" s="39" t="str">
        <x:v>138496</x:v>
      </x:c>
      <x:c r="H13" s="39" t="str">
        <x:v>images/normal_035/normal_035_c8_normal_035_component_08_contact_sheet_1.png</x:v>
      </x:c>
      <x:c r="I13" s="39" t="str">
        <x:v>overviews/normal_035/normal_035_c1_normal_035_overview_1.png</x:v>
      </x:c>
      <x:c r="J13" s="39" t="str">
        <x:v>fibrosis_stroma_benign</x:v>
      </x:c>
      <x:c r="K13" s="39" t="str">
        <x:v>yes</x:v>
      </x:c>
      <x:c r="L13" s="39" t="str"/>
      <x:c r="M13" s="39" t="str">
        <x:v>normal</x:v>
      </x:c>
      <x:c r="N13" s="39" t="str">
        <x:v>fibrosis_stroma_benign</x:v>
      </x:c>
      <x:c r="O13" s="39" t="str">
        <x:v>hard_negative</x:v>
      </x:c>
      <x:c r="P13" s="39" t="str">
        <x:v>images\normal_035\normal_035_c8_normal_035_component_08_contact_sheet_1.png</x:v>
      </x:c>
      <x:c r="Q13" s="39" t="str">
        <x:v>review_sorted_junior\fibrosis_stroma_benign\slide_id=normal_035_component_id=8_normal_035_c8_normal_035_component_08_contact_sheet_1.png</x:v>
      </x:c>
    </x:row>
    <x:row r="14">
      <x:c r="A14" s="39" t="str">
        <x:v>normal_035</x:v>
      </x:c>
      <x:c r="B14" s="39" t="str">
        <x:v>9</x:v>
      </x:c>
      <x:c r="C14" s="39" t="str">
        <x:v>44</x:v>
      </x:c>
      <x:c r="D14" s="39" t="str">
        <x:v>0.9908899664878845</x:v>
      </x:c>
      <x:c r="E14" s="39" t="str">
        <x:v>0.7933409078554674</x:v>
      </x:c>
      <x:c r="F14" s="39" t="str">
        <x:v>21248</x:v>
      </x:c>
      <x:c r="G14" s="39" t="str">
        <x:v>141312</x:v>
      </x:c>
      <x:c r="H14" s="39" t="str">
        <x:v>images/normal_035/normal_035_c9_normal_035_component_09_contact_sheet_1.png</x:v>
      </x:c>
      <x:c r="I14" s="39" t="str">
        <x:v>overviews/normal_035/normal_035_c1_normal_035_overview_1.png</x:v>
      </x:c>
      <x:c r="J14" s="39" t="str">
        <x:v>fibrosis_stroma_benign</x:v>
      </x:c>
      <x:c r="K14" s="39" t="str">
        <x:v>yes</x:v>
      </x:c>
      <x:c r="L14" s="39" t="str"/>
      <x:c r="M14" s="39" t="str">
        <x:v>normal</x:v>
      </x:c>
      <x:c r="N14" s="39" t="str">
        <x:v>fibrosis_stroma_benign</x:v>
      </x:c>
      <x:c r="O14" s="39" t="str">
        <x:v>hard_negative</x:v>
      </x:c>
      <x:c r="P14" s="39" t="str">
        <x:v>images\normal_035\normal_035_c9_normal_035_component_09_contact_sheet_1.png</x:v>
      </x:c>
      <x:c r="Q14" s="39" t="str">
        <x:v>review_sorted_junior\fibrosis_stroma_benign\slide_id=normal_035_component_id=9_normal_035_c9_normal_035_component_09_contact_sheet_1.png</x:v>
      </x:c>
    </x:row>
    <x:row r="15">
      <x:c r="A15" s="39" t="str">
        <x:v>normal_035</x:v>
      </x:c>
      <x:c r="B15" s="39" t="str">
        <x:v>10</x:v>
      </x:c>
      <x:c r="C15" s="39" t="str">
        <x:v>41</x:v>
      </x:c>
      <x:c r="D15" s="39" t="str">
        <x:v>0.998902440071106</x:v>
      </x:c>
      <x:c r="E15" s="39" t="str">
        <x:v>0.8715304732322693</x:v>
      </x:c>
      <x:c r="F15" s="39" t="str">
        <x:v>36352</x:v>
      </x:c>
      <x:c r="G15" s="39" t="str">
        <x:v>93440</x:v>
      </x:c>
      <x:c r="H15" s="39" t="str">
        <x:v>images/normal_035/normal_035_c10_normal_035_component_10_contact_sheet_1.png</x:v>
      </x:c>
      <x:c r="I15" s="39" t="str">
        <x:v>overviews/normal_035/normal_035_c1_normal_035_overview_1.png</x:v>
      </x:c>
      <x:c r="J15" s="39" t="str">
        <x:v>fibrosis_stroma_benign</x:v>
      </x:c>
      <x:c r="K15" s="39" t="str">
        <x:v>yes</x:v>
      </x:c>
      <x:c r="L15" s="39" t="str"/>
      <x:c r="M15" s="39" t="str">
        <x:v>normal</x:v>
      </x:c>
      <x:c r="N15" s="39" t="str">
        <x:v>fibrosis_stroma_benign</x:v>
      </x:c>
      <x:c r="O15" s="39" t="str">
        <x:v>hard_negative</x:v>
      </x:c>
      <x:c r="P15" s="39" t="str">
        <x:v>images\normal_035\normal_035_c10_normal_035_component_10_contact_sheet_1.png</x:v>
      </x:c>
      <x:c r="Q15" s="39" t="str">
        <x:v>review_sorted_junior\fibrosis_stroma_benign\slide_id=normal_035_component_id=10_normal_035_c10_normal_035_component_10_contact_sheet_1.png</x:v>
      </x:c>
    </x:row>
    <x:row r="16">
      <x:c r="A16" s="39" t="str">
        <x:v>normal_037</x:v>
      </x:c>
      <x:c r="B16" s="39" t="str">
        <x:v>1</x:v>
      </x:c>
      <x:c r="C16" s="39" t="str">
        <x:v>100</x:v>
      </x:c>
      <x:c r="D16" s="39" t="str">
        <x:v>0.9997257590293884</x:v>
      </x:c>
      <x:c r="E16" s="39" t="str">
        <x:v>0.8185697704553604</x:v>
      </x:c>
      <x:c r="F16" s="39" t="str">
        <x:v>24832</x:v>
      </x:c>
      <x:c r="G16" s="39" t="str">
        <x:v>156800</x:v>
      </x:c>
      <x:c r="H16" s="39" t="str">
        <x:v>images/normal_037/normal_037_c1_normal_037_component_01_contact_sheet_1.png</x:v>
      </x:c>
      <x:c r="I16" s="39" t="str">
        <x:v>overviews/normal_037/normal_037_c1_normal_037_overview_1.png</x:v>
      </x:c>
      <x:c r="J16" s="39" t="str">
        <x:v>necrosis_coagulation_benign</x:v>
      </x:c>
      <x:c r="K16" s="39" t="str">
        <x:v>yes</x:v>
      </x:c>
      <x:c r="L16" s="39" t="str"/>
      <x:c r="M16" s="39" t="str">
        <x:v>normal</x:v>
      </x:c>
      <x:c r="N16" s="39" t="str">
        <x:v>necrosis_coagulation_benign</x:v>
      </x:c>
      <x:c r="O16" s="39" t="str">
        <x:v>hard_negative</x:v>
      </x:c>
      <x:c r="P16" s="39" t="str">
        <x:v>images\normal_037\normal_037_c1_normal_037_component_01_contact_sheet_1.png</x:v>
      </x:c>
      <x:c r="Q16" s="39" t="str">
        <x:v>review_sorted_junior\necrosis_coagulation_benign\slide_id=normal_037_component_id=1_normal_037_c1_normal_037_component_01_contact_sheet_1.png</x:v>
      </x:c>
    </x:row>
    <x:row r="17">
      <x:c r="A17" s="40" t="str">
        <x:v>normal_037</x:v>
      </x:c>
      <x:c r="B17" s="40" t="str">
        <x:v>2</x:v>
      </x:c>
      <x:c r="C17" s="40" t="str">
        <x:v>95</x:v>
      </x:c>
      <x:c r="D17" s="40" t="str">
        <x:v>0.9999642372131348</x:v>
      </x:c>
      <x:c r="E17" s="40" t="str">
        <x:v>0.8261908167286923</x:v>
      </x:c>
      <x:c r="F17" s="40" t="str">
        <x:v>21760</x:v>
      </x:c>
      <x:c r="G17" s="40" t="str">
        <x:v>161920</x:v>
      </x:c>
      <x:c r="H17" s="40" t="str">
        <x:v>images/normal_037/normal_037_c2_normal_037_component_02_contact_sheet_1.png</x:v>
      </x:c>
      <x:c r="I17" s="40" t="str">
        <x:v>overviews/normal_037/normal_037_c1_normal_037_overview_1.png</x:v>
      </x:c>
      <x:c r="J17" s="40" t="str">
        <x:v>sinus_histiocytosis</x:v>
      </x:c>
      <x:c r="K17" s="40" t="str">
        <x:v>yes</x:v>
      </x:c>
      <x:c r="L17" s="40" t="str"/>
      <x:c r="M17" s="40" t="str">
        <x:v>normal</x:v>
      </x:c>
      <x:c r="N17" s="40" t="str">
        <x:v>sinus_histiocytosis</x:v>
      </x:c>
      <x:c r="O17" s="40" t="str">
        <x:v>hard_negative</x:v>
      </x:c>
      <x:c r="P17" s="40" t="str">
        <x:v>images\normal_037\normal_037_c2_normal_037_component_02_contact_sheet_1.png</x:v>
      </x:c>
      <x:c r="Q17" s="40" t="str">
        <x:v>review_sorted_junior\sinus_histiocytosis\slide_id=normal_037_component_id=2_normal_037_c2_normal_037_component_02_contact_sheet_1.png</x:v>
      </x:c>
    </x:row>
    <x:row r="18">
      <x:c r="A18" s="48" t="str">
        <x:v>Reponses initiales junior — copie brute non modifiee dans ce classeur.</x:v>
      </x:c>
    </x:row>
  </x:sheetData>
  <x:mergeCells>
    <x:mergeCell ref="A18:Q18"/>
  </x:mergeCells>
  <x:pageMargins left="0.7" right="0.7" top="0.75" bottom="0.75" header="0.3" footer="0.3"/>
  <x:tableParts count="1">
    <x:tablePart xmlns:r="http://schemas.openxmlformats.org/officeDocument/2006/relationships" r:id="R7d944bb9fb1143b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6" hidden="0" customWidth="1"/>
    <x:col min="9" max="9" width="26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30" hidden="0" customWidth="1"/>
    <x:col min="17" max="17" width="30" hidden="0" customWidth="1"/>
  </x:cols>
  <x:sheetData>
    <x:row r="1">
      <x:c r="A1" s="24" t="str">
        <x:v>slide_id</x:v>
      </x:c>
      <x:c r="B1" s="25" t="str">
        <x:v>component_id</x:v>
      </x:c>
      <x:c r="C1" s="25" t="str">
        <x:v>n_patches</x:v>
      </x:c>
      <x:c r="D1" s="44" t="str">
        <x:v>max_prob</x:v>
      </x:c>
      <x:c r="E1" s="44" t="str">
        <x:v>mean_prob</x:v>
      </x:c>
      <x:c r="F1" s="25" t="str">
        <x:v>top_x</x:v>
      </x:c>
      <x:c r="G1" s="25" t="str">
        <x:v>top_y</x:v>
      </x:c>
      <x:c r="H1" s="25" t="str">
        <x:v>contact_sheet</x:v>
      </x:c>
      <x:c r="I1" s="25" t="str">
        <x:v>overview</x:v>
      </x:c>
      <x:c r="J1" s="25" t="str">
        <x:v>review_category</x:v>
      </x:c>
      <x:c r="K1" s="25" t="str">
        <x:v>include_as_hard_negative</x:v>
      </x:c>
      <x:c r="L1" s="25" t="str">
        <x:v>notes</x:v>
      </x:c>
      <x:c r="M1" s="25" t="str">
        <x:v>binary_label</x:v>
      </x:c>
      <x:c r="N1" s="25" t="str">
        <x:v>morphology_category</x:v>
      </x:c>
      <x:c r="O1" s="25" t="str">
        <x:v>difficulty_type</x:v>
      </x:c>
      <x:c r="P1" s="25" t="str">
        <x:v>reviewed_image</x:v>
      </x:c>
      <x:c r="Q1" s="26" t="str">
        <x:v>sorted_path</x:v>
      </x:c>
    </x:row>
    <x:row r="2">
      <x:c r="A2" s="38" t="str">
        <x:v>normal_034</x:v>
      </x:c>
      <x:c r="B2" s="38" t="str">
        <x:v>1</x:v>
      </x:c>
      <x:c r="C2" s="38" t="str">
        <x:v>82</x:v>
      </x:c>
      <x:c r="D2" s="38" t="str">
        <x:v>0.9998586177825928</x:v>
      </x:c>
      <x:c r="E2" s="38" t="str">
        <x:v>0.8695266290408808</x:v>
      </x:c>
      <x:c r="F2" s="38" t="str">
        <x:v>47488</x:v>
      </x:c>
      <x:c r="G2" s="38" t="str">
        <x:v>88320</x:v>
      </x:c>
      <x:c r="H2" s="38" t="str">
        <x:v>images/normal_034/normal_034_c1_normal_034_component_01_contact_sheet_1.png</x:v>
      </x:c>
      <x:c r="I2" s="38" t="str">
        <x:v>overviews/normal_034/normal_034_c1_normal_034_overview_1.png</x:v>
      </x:c>
      <x:c r="J2" s="38" t="str">
        <x:v>other_hard_negative</x:v>
      </x:c>
      <x:c r="K2" s="38" t="str">
        <x:v>yes</x:v>
      </x:c>
      <x:c r="L2" s="38" t="str"/>
      <x:c r="M2" s="38" t="str">
        <x:v>normal</x:v>
      </x:c>
      <x:c r="N2" s="38" t="str">
        <x:v>other_hard_negative</x:v>
      </x:c>
      <x:c r="O2" s="38" t="str">
        <x:v>hard_negative</x:v>
      </x:c>
      <x:c r="P2" s="38" t="str">
        <x:v>images/normal_034/normal_034_c1_normal_034_component_01_contact_sheet_1.png</x:v>
      </x:c>
      <x:c r="Q2" s="38" t="str">
        <x:v>review_sorted_ph/other_hard_negative/slide_id=normal_034_component_id=1_normal_034_c1_normal_034_component_01_contact_sheet_1.png</x:v>
      </x:c>
    </x:row>
    <x:row r="3">
      <x:c r="A3" s="39" t="str">
        <x:v>normal_034</x:v>
      </x:c>
      <x:c r="B3" s="39" t="str">
        <x:v>2</x:v>
      </x:c>
      <x:c r="C3" s="39" t="str">
        <x:v>52</x:v>
      </x:c>
      <x:c r="D3" s="39" t="str">
        <x:v>0.9993828535079956</x:v>
      </x:c>
      <x:c r="E3" s="39" t="str">
        <x:v>0.847486593402349</x:v>
      </x:c>
      <x:c r="F3" s="39" t="str">
        <x:v>60800</x:v>
      </x:c>
      <x:c r="G3" s="39" t="str">
        <x:v>84224</x:v>
      </x:c>
      <x:c r="H3" s="39" t="str">
        <x:v>images/normal_034/normal_034_c2_normal_034_component_02_contact_sheet_1.png</x:v>
      </x:c>
      <x:c r="I3" s="39" t="str">
        <x:v>overviews/normal_034/normal_034_c1_normal_034_overview_1.png</x:v>
      </x:c>
      <x:c r="J3" s="39" t="str">
        <x:v>vessel_lumen</x:v>
      </x:c>
      <x:c r="K3" s="39" t="str">
        <x:v>yes</x:v>
      </x:c>
      <x:c r="L3" s="39" t="str"/>
      <x:c r="M3" s="39" t="str">
        <x:v>normal</x:v>
      </x:c>
      <x:c r="N3" s="39" t="str">
        <x:v>vessel_lumen</x:v>
      </x:c>
      <x:c r="O3" s="39" t="str">
        <x:v>hard_negative</x:v>
      </x:c>
      <x:c r="P3" s="39" t="str">
        <x:v>images/normal_034/normal_034_c2_normal_034_component_02_contact_sheet_1.png</x:v>
      </x:c>
      <x:c r="Q3" s="39" t="str">
        <x:v>review_sorted_ph/vessel_lumen/slide_id=normal_034_component_id=2_normal_034_c2_normal_034_component_02_contact_sheet_1.png</x:v>
      </x:c>
    </x:row>
    <x:row r="4">
      <x:c r="A4" s="39" t="str">
        <x:v>normal_034</x:v>
      </x:c>
      <x:c r="B4" s="39" t="str">
        <x:v>3</x:v>
      </x:c>
      <x:c r="C4" s="39" t="str">
        <x:v>47</x:v>
      </x:c>
      <x:c r="D4" s="39" t="str">
        <x:v>0.9949735403060913</x:v>
      </x:c>
      <x:c r="E4" s="39" t="str">
        <x:v>0.8134822667913234</x:v>
      </x:c>
      <x:c r="F4" s="39" t="str">
        <x:v>49536</x:v>
      </x:c>
      <x:c r="G4" s="39" t="str">
        <x:v>66304</x:v>
      </x:c>
      <x:c r="H4" s="39" t="str">
        <x:v>images/normal_034/normal_034_c3_normal_034_component_03_contact_sheet_1.png</x:v>
      </x:c>
      <x:c r="I4" s="39" t="str">
        <x:v>overviews/normal_034/normal_034_c1_normal_034_overview_1.png</x:v>
      </x:c>
      <x:c r="J4" s="39" t="str">
        <x:v>vessel_lumen</x:v>
      </x:c>
      <x:c r="K4" s="39" t="str">
        <x:v>yes</x:v>
      </x:c>
      <x:c r="L4" s="39" t="str"/>
      <x:c r="M4" s="39" t="str">
        <x:v>normal</x:v>
      </x:c>
      <x:c r="N4" s="39" t="str">
        <x:v>vessel_lumen</x:v>
      </x:c>
      <x:c r="O4" s="39" t="str">
        <x:v>hard_negative</x:v>
      </x:c>
      <x:c r="P4" s="39" t="str">
        <x:v>images/normal_034/normal_034_c3_normal_034_component_03_contact_sheet_1.png</x:v>
      </x:c>
      <x:c r="Q4" s="39" t="str">
        <x:v>review_sorted_ph/vessel_lumen/slide_id=normal_034_component_id=3_normal_034_c3_normal_034_component_03_contact_sheet_1.png</x:v>
      </x:c>
    </x:row>
    <x:row r="5">
      <x:c r="A5" s="39" t="str">
        <x:v>normal_034</x:v>
      </x:c>
      <x:c r="B5" s="39" t="str">
        <x:v>4</x:v>
      </x:c>
      <x:c r="C5" s="39" t="str">
        <x:v>45</x:v>
      </x:c>
      <x:c r="D5" s="39" t="str">
        <x:v>0.9904414415359497</x:v>
      </x:c>
      <x:c r="E5" s="39" t="str">
        <x:v>0.7871211542023553</x:v>
      </x:c>
      <x:c r="F5" s="39" t="str">
        <x:v>17920</x:v>
      </x:c>
      <x:c r="G5" s="39" t="str">
        <x:v>137728</x:v>
      </x:c>
      <x:c r="H5" s="39" t="str">
        <x:v>images/normal_034/normal_034_c4_normal_034_component_04_contact_sheet_1.png</x:v>
      </x:c>
      <x:c r="I5" s="39" t="str">
        <x:v>overviews/normal_034/normal_034_c1_normal_034_overview_1.png</x:v>
      </x:c>
      <x:c r="J5" s="39" t="str">
        <x:v>other_hard_negative</x:v>
      </x:c>
      <x:c r="K5" s="39" t="str">
        <x:v>yes</x:v>
      </x:c>
      <x:c r="L5" s="39" t="str"/>
      <x:c r="M5" s="39" t="str">
        <x:v>normal</x:v>
      </x:c>
      <x:c r="N5" s="39" t="str">
        <x:v>other_hard_negative</x:v>
      </x:c>
      <x:c r="O5" s="39" t="str">
        <x:v>hard_negative</x:v>
      </x:c>
      <x:c r="P5" s="39" t="str">
        <x:v>images/normal_034/normal_034_c4_normal_034_component_04_contact_sheet_1.png</x:v>
      </x:c>
      <x:c r="Q5" s="39" t="str">
        <x:v>review_sorted_ph/other_hard_negative/slide_id=normal_034_component_id=4_normal_034_c4_normal_034_component_04_contact_sheet_1.png</x:v>
      </x:c>
    </x:row>
    <x:row r="6">
      <x:c r="A6" s="39" t="str">
        <x:v>normal_035</x:v>
      </x:c>
      <x:c r="B6" s="39" t="str">
        <x:v>1</x:v>
      </x:c>
      <x:c r="C6" s="39" t="str">
        <x:v>99</x:v>
      </x:c>
      <x:c r="D6" s="39" t="str">
        <x:v>0.9979063272476196</x:v>
      </x:c>
      <x:c r="E6" s="39" t="str">
        <x:v>0.7672797188614354</x:v>
      </x:c>
      <x:c r="F6" s="39" t="str">
        <x:v>19072</x:v>
      </x:c>
      <x:c r="G6" s="39" t="str">
        <x:v>122240</x:v>
      </x:c>
      <x:c r="H6" s="39" t="str">
        <x:v>images/normal_035/normal_035_c1_normal_035_component_01_contact_sheet_1.png</x:v>
      </x:c>
      <x:c r="I6" s="39" t="str">
        <x:v>overviews/normal_035/normal_035_c1_normal_035_overview_1.png</x:v>
      </x:c>
      <x:c r="J6" s="39" t="str">
        <x:v>outside_node_adipose</x:v>
      </x:c>
      <x:c r="K6" s="39" t="str">
        <x:v>yes</x:v>
      </x:c>
      <x:c r="L6" s="39" t="str"/>
      <x:c r="M6" s="39" t="str">
        <x:v>normal</x:v>
      </x:c>
      <x:c r="N6" s="39" t="str">
        <x:v>outside_node_adipose</x:v>
      </x:c>
      <x:c r="O6" s="39" t="str">
        <x:v>hard_negative</x:v>
      </x:c>
      <x:c r="P6" s="39" t="str">
        <x:v>images/normal_035/normal_035_c1_normal_035_component_01_contact_sheet_1.png</x:v>
      </x:c>
      <x:c r="Q6" s="39" t="str">
        <x:v>review_sorted_ph/outside_node_adipose/slide_id=normal_035_component_id=1_normal_035_c1_normal_035_component_01_contact_sheet_1.png</x:v>
      </x:c>
    </x:row>
    <x:row r="7">
      <x:c r="A7" s="39" t="str">
        <x:v>normal_035</x:v>
      </x:c>
      <x:c r="B7" s="39" t="str">
        <x:v>2</x:v>
      </x:c>
      <x:c r="C7" s="39" t="str">
        <x:v>88</x:v>
      </x:c>
      <x:c r="D7" s="39" t="str">
        <x:v>0.9997764229774475</x:v>
      </x:c>
      <x:c r="E7" s="39" t="str">
        <x:v>0.8586394346573136</x:v>
      </x:c>
      <x:c r="F7" s="39" t="str">
        <x:v>12032</x:v>
      </x:c>
      <x:c r="G7" s="39" t="str">
        <x:v>134656</x:v>
      </x:c>
      <x:c r="H7" s="39" t="str">
        <x:v>images/normal_035/normal_035_c2_normal_035_component_02_contact_sheet_1.png</x:v>
      </x:c>
      <x:c r="I7" s="39" t="str">
        <x:v>overviews/normal_035/normal_035_c1_normal_035_overview_1.png</x:v>
      </x:c>
      <x:c r="J7" s="39" t="str">
        <x:v>outside_node_adipose</x:v>
      </x:c>
      <x:c r="K7" s="39" t="str">
        <x:v>yes</x:v>
      </x:c>
      <x:c r="L7" s="39" t="str"/>
      <x:c r="M7" s="39" t="str">
        <x:v>normal</x:v>
      </x:c>
      <x:c r="N7" s="39" t="str">
        <x:v>outside_node_adipose</x:v>
      </x:c>
      <x:c r="O7" s="39" t="str">
        <x:v>hard_negative</x:v>
      </x:c>
      <x:c r="P7" s="39" t="str">
        <x:v>images/normal_035/normal_035_c2_normal_035_component_02_contact_sheet_1.png</x:v>
      </x:c>
      <x:c r="Q7" s="39" t="str">
        <x:v>review_sorted_ph/outside_node_adipose/slide_id=normal_035_component_id=2_normal_035_c2_normal_035_component_02_contact_sheet_1.png</x:v>
      </x:c>
    </x:row>
    <x:row r="8">
      <x:c r="A8" s="39" t="str">
        <x:v>normal_035</x:v>
      </x:c>
      <x:c r="B8" s="39" t="str">
        <x:v>3</x:v>
      </x:c>
      <x:c r="C8" s="39" t="str">
        <x:v>80</x:v>
      </x:c>
      <x:c r="D8" s="39" t="str">
        <x:v>0.9997113347053528</x:v>
      </x:c>
      <x:c r="E8" s="39" t="str">
        <x:v>0.8591045364737511</x:v>
      </x:c>
      <x:c r="F8" s="39" t="str">
        <x:v>43776</x:v>
      </x:c>
      <x:c r="G8" s="39" t="str">
        <x:v>117888</x:v>
      </x:c>
      <x:c r="H8" s="39" t="str">
        <x:v>images/normal_035/normal_035_c3_normal_035_component_03_contact_sheet_1.png</x:v>
      </x:c>
      <x:c r="I8" s="39" t="str">
        <x:v>overviews/normal_035/normal_035_c1_normal_035_overview_1.png</x:v>
      </x:c>
      <x:c r="J8" s="39" t="str">
        <x:v>outside_node_adipose</x:v>
      </x:c>
      <x:c r="K8" s="39" t="str">
        <x:v>yes</x:v>
      </x:c>
      <x:c r="L8" s="39" t="str"/>
      <x:c r="M8" s="39" t="str">
        <x:v>normal</x:v>
      </x:c>
      <x:c r="N8" s="39" t="str">
        <x:v>outside_node_adipose</x:v>
      </x:c>
      <x:c r="O8" s="39" t="str">
        <x:v>hard_negative</x:v>
      </x:c>
      <x:c r="P8" s="39" t="str">
        <x:v>images/normal_035/normal_035_c3_normal_035_component_03_contact_sheet_1.png</x:v>
      </x:c>
      <x:c r="Q8" s="39" t="str">
        <x:v>review_sorted_ph/outside_node_adipose/slide_id=normal_035_component_id=3_normal_035_c3_normal_035_component_03_contact_sheet_1.png</x:v>
      </x:c>
    </x:row>
    <x:row r="9">
      <x:c r="A9" s="39" t="str">
        <x:v>normal_035</x:v>
      </x:c>
      <x:c r="B9" s="39" t="str">
        <x:v>4</x:v>
      </x:c>
      <x:c r="C9" s="39" t="str">
        <x:v>68</x:v>
      </x:c>
      <x:c r="D9" s="39" t="str">
        <x:v>0.9990956783294678</x:v>
      </x:c>
      <x:c r="E9" s="39" t="str">
        <x:v>0.7747719384291593</x:v>
      </x:c>
      <x:c r="F9" s="39" t="str">
        <x:v>13056</x:v>
      </x:c>
      <x:c r="G9" s="39" t="str">
        <x:v>134272</x:v>
      </x:c>
      <x:c r="H9" s="39" t="str">
        <x:v>images/normal_035/normal_035_c4_normal_035_component_04_contact_sheet_1.png</x:v>
      </x:c>
      <x:c r="I9" s="39" t="str">
        <x:v>overviews/normal_035/normal_035_c1_normal_035_overview_1.png</x:v>
      </x:c>
      <x:c r="J9" s="39" t="str">
        <x:v>outside_node_adipose</x:v>
      </x:c>
      <x:c r="K9" s="39" t="str">
        <x:v>yes</x:v>
      </x:c>
      <x:c r="L9" s="39" t="str"/>
      <x:c r="M9" s="39" t="str">
        <x:v>normal</x:v>
      </x:c>
      <x:c r="N9" s="39" t="str">
        <x:v>outside_node_adipose</x:v>
      </x:c>
      <x:c r="O9" s="39" t="str">
        <x:v>hard_negative</x:v>
      </x:c>
      <x:c r="P9" s="39" t="str">
        <x:v>images/normal_035/normal_035_c4_normal_035_component_04_contact_sheet_1.png</x:v>
      </x:c>
      <x:c r="Q9" s="39" t="str">
        <x:v>review_sorted_ph/outside_node_adipose/slide_id=normal_035_component_id=4_normal_035_c4_normal_035_component_04_contact_sheet_1.png</x:v>
      </x:c>
    </x:row>
    <x:row r="10">
      <x:c r="A10" s="39" t="str">
        <x:v>normal_035</x:v>
      </x:c>
      <x:c r="B10" s="39" t="str">
        <x:v>5</x:v>
      </x:c>
      <x:c r="C10" s="39" t="str">
        <x:v>63</x:v>
      </x:c>
      <x:c r="D10" s="39" t="str">
        <x:v>0.9995996356010437</x:v>
      </x:c>
      <x:c r="E10" s="39" t="str">
        <x:v>0.8430073024734618</x:v>
      </x:c>
      <x:c r="F10" s="39" t="str">
        <x:v>13824</x:v>
      </x:c>
      <x:c r="G10" s="39" t="str">
        <x:v>138624</x:v>
      </x:c>
      <x:c r="H10" s="39" t="str">
        <x:v>images/normal_035/normal_035_c5_normal_035_component_05_contact_sheet_1.png</x:v>
      </x:c>
      <x:c r="I10" s="39" t="str">
        <x:v>overviews/normal_035/normal_035_c1_normal_035_overview_1.png</x:v>
      </x:c>
      <x:c r="J10" s="39" t="str">
        <x:v>outside_node_adipose</x:v>
      </x:c>
      <x:c r="K10" s="39" t="str">
        <x:v>yes</x:v>
      </x:c>
      <x:c r="L10" s="39" t="str"/>
      <x:c r="M10" s="39" t="str">
        <x:v>normal</x:v>
      </x:c>
      <x:c r="N10" s="39" t="str">
        <x:v>outside_node_adipose</x:v>
      </x:c>
      <x:c r="O10" s="39" t="str">
        <x:v>hard_negative</x:v>
      </x:c>
      <x:c r="P10" s="39" t="str">
        <x:v>images/normal_035/normal_035_c5_normal_035_component_05_contact_sheet_1.png</x:v>
      </x:c>
      <x:c r="Q10" s="39" t="str">
        <x:v>review_sorted_ph/outside_node_adipose/slide_id=normal_035_component_id=5_normal_035_c5_normal_035_component_05_contact_sheet_1.png</x:v>
      </x:c>
    </x:row>
    <x:row r="11">
      <x:c r="A11" s="39" t="str">
        <x:v>normal_035</x:v>
      </x:c>
      <x:c r="B11" s="39" t="str">
        <x:v>6</x:v>
      </x:c>
      <x:c r="C11" s="39" t="str">
        <x:v>55</x:v>
      </x:c>
      <x:c r="D11" s="39" t="str">
        <x:v>0.9999871253967285</x:v>
      </x:c>
      <x:c r="E11" s="39" t="str">
        <x:v>0.8782513065771623</x:v>
      </x:c>
      <x:c r="F11" s="39" t="str">
        <x:v>46592</x:v>
      </x:c>
      <x:c r="G11" s="39" t="str">
        <x:v>96128</x:v>
      </x:c>
      <x:c r="H11" s="39" t="str">
        <x:v>images/normal_035/normal_035_c6_normal_035_component_06_contact_sheet_1.png</x:v>
      </x:c>
      <x:c r="I11" s="39" t="str">
        <x:v>overviews/normal_035/normal_035_c1_normal_035_overview_1.png</x:v>
      </x:c>
      <x:c r="J11" s="39" t="str">
        <x:v>outside_node_adipose</x:v>
      </x:c>
      <x:c r="K11" s="39" t="str">
        <x:v>yes</x:v>
      </x:c>
      <x:c r="L11" s="39" t="str"/>
      <x:c r="M11" s="39" t="str">
        <x:v>normal</x:v>
      </x:c>
      <x:c r="N11" s="39" t="str">
        <x:v>outside_node_adipose</x:v>
      </x:c>
      <x:c r="O11" s="39" t="str">
        <x:v>hard_negative</x:v>
      </x:c>
      <x:c r="P11" s="39" t="str">
        <x:v>images/normal_035/normal_035_c6_normal_035_component_06_contact_sheet_1.png</x:v>
      </x:c>
      <x:c r="Q11" s="39" t="str">
        <x:v>review_sorted_ph/outside_node_adipose/slide_id=normal_035_component_id=6_normal_035_c6_normal_035_component_06_contact_sheet_1.png</x:v>
      </x:c>
    </x:row>
    <x:row r="12">
      <x:c r="A12" s="39" t="str">
        <x:v>normal_035</x:v>
      </x:c>
      <x:c r="B12" s="39" t="str">
        <x:v>7</x:v>
      </x:c>
      <x:c r="C12" s="39" t="str">
        <x:v>49</x:v>
      </x:c>
      <x:c r="D12" s="39" t="str">
        <x:v>0.9812213182449341</x:v>
      </x:c>
      <x:c r="E12" s="39" t="str">
        <x:v>0.73173588514328</x:v>
      </x:c>
      <x:c r="F12" s="39" t="str">
        <x:v>19200</x:v>
      </x:c>
      <x:c r="G12" s="39" t="str">
        <x:v>112384</x:v>
      </x:c>
      <x:c r="H12" s="39" t="str">
        <x:v>images/normal_035/normal_035_c7_normal_035_component_07_contact_sheet_1.png</x:v>
      </x:c>
      <x:c r="I12" s="39" t="str">
        <x:v>overviews/normal_035/normal_035_c1_normal_035_overview_1.png</x:v>
      </x:c>
      <x:c r="J12" s="39" t="str">
        <x:v>outside_node_adipose</x:v>
      </x:c>
      <x:c r="K12" s="39" t="str">
        <x:v>yes</x:v>
      </x:c>
      <x:c r="L12" s="39" t="str"/>
      <x:c r="M12" s="39" t="str">
        <x:v>normal</x:v>
      </x:c>
      <x:c r="N12" s="39" t="str">
        <x:v>outside_node_adipose</x:v>
      </x:c>
      <x:c r="O12" s="39" t="str">
        <x:v>hard_negative</x:v>
      </x:c>
      <x:c r="P12" s="39" t="str">
        <x:v>images/normal_035/normal_035_c7_normal_035_component_07_contact_sheet_1.png</x:v>
      </x:c>
      <x:c r="Q12" s="39" t="str">
        <x:v>review_sorted_ph/outside_node_adipose/slide_id=normal_035_component_id=7_normal_035_c7_normal_035_component_07_contact_sheet_1.png</x:v>
      </x:c>
    </x:row>
    <x:row r="13">
      <x:c r="A13" s="39" t="str">
        <x:v>normal_035</x:v>
      </x:c>
      <x:c r="B13" s="39" t="str">
        <x:v>8</x:v>
      </x:c>
      <x:c r="C13" s="39" t="str">
        <x:v>47</x:v>
      </x:c>
      <x:c r="D13" s="39" t="str">
        <x:v>0.9887270927429199</x:v>
      </x:c>
      <x:c r="E13" s="39" t="str">
        <x:v>0.7977401677598345</x:v>
      </x:c>
      <x:c r="F13" s="39" t="str">
        <x:v>8064</x:v>
      </x:c>
      <x:c r="G13" s="39" t="str">
        <x:v>138496</x:v>
      </x:c>
      <x:c r="H13" s="39" t="str">
        <x:v>images/normal_035/normal_035_c8_normal_035_component_08_contact_sheet_1.png</x:v>
      </x:c>
      <x:c r="I13" s="39" t="str">
        <x:v>overviews/normal_035/normal_035_c1_normal_035_overview_1.png</x:v>
      </x:c>
      <x:c r="J13" s="39" t="str">
        <x:v>outside_node_adipose</x:v>
      </x:c>
      <x:c r="K13" s="39" t="str">
        <x:v>yes</x:v>
      </x:c>
      <x:c r="L13" s="39" t="str"/>
      <x:c r="M13" s="39" t="str">
        <x:v>normal</x:v>
      </x:c>
      <x:c r="N13" s="39" t="str">
        <x:v>outside_node_adipose</x:v>
      </x:c>
      <x:c r="O13" s="39" t="str">
        <x:v>hard_negative</x:v>
      </x:c>
      <x:c r="P13" s="39" t="str">
        <x:v>images/normal_035/normal_035_c8_normal_035_component_08_contact_sheet_1.png</x:v>
      </x:c>
      <x:c r="Q13" s="39" t="str">
        <x:v>review_sorted_ph/outside_node_adipose/slide_id=normal_035_component_id=8_normal_035_c8_normal_035_component_08_contact_sheet_1.png</x:v>
      </x:c>
    </x:row>
    <x:row r="14">
      <x:c r="A14" s="39" t="str">
        <x:v>normal_035</x:v>
      </x:c>
      <x:c r="B14" s="39" t="str">
        <x:v>9</x:v>
      </x:c>
      <x:c r="C14" s="39" t="str">
        <x:v>44</x:v>
      </x:c>
      <x:c r="D14" s="39" t="str">
        <x:v>0.9908899664878845</x:v>
      </x:c>
      <x:c r="E14" s="39" t="str">
        <x:v>0.7933409078554674</x:v>
      </x:c>
      <x:c r="F14" s="39" t="str">
        <x:v>21248</x:v>
      </x:c>
      <x:c r="G14" s="39" t="str">
        <x:v>141312</x:v>
      </x:c>
      <x:c r="H14" s="39" t="str">
        <x:v>images/normal_035/normal_035_c9_normal_035_component_09_contact_sheet_1.png</x:v>
      </x:c>
      <x:c r="I14" s="39" t="str">
        <x:v>overviews/normal_035/normal_035_c1_normal_035_overview_1.png</x:v>
      </x:c>
      <x:c r="J14" s="39" t="str">
        <x:v>outside_node_adipose</x:v>
      </x:c>
      <x:c r="K14" s="39" t="str">
        <x:v>yes</x:v>
      </x:c>
      <x:c r="L14" s="39" t="str"/>
      <x:c r="M14" s="39" t="str">
        <x:v>normal</x:v>
      </x:c>
      <x:c r="N14" s="39" t="str">
        <x:v>outside_node_adipose</x:v>
      </x:c>
      <x:c r="O14" s="39" t="str">
        <x:v>hard_negative</x:v>
      </x:c>
      <x:c r="P14" s="39" t="str">
        <x:v>images/normal_035/normal_035_c9_normal_035_component_09_contact_sheet_1.png</x:v>
      </x:c>
      <x:c r="Q14" s="39" t="str">
        <x:v>review_sorted_ph/outside_node_adipose/slide_id=normal_035_component_id=9_normal_035_c9_normal_035_component_09_contact_sheet_1.png</x:v>
      </x:c>
    </x:row>
    <x:row r="15">
      <x:c r="A15" s="39" t="str">
        <x:v>normal_035</x:v>
      </x:c>
      <x:c r="B15" s="39" t="str">
        <x:v>10</x:v>
      </x:c>
      <x:c r="C15" s="39" t="str">
        <x:v>41</x:v>
      </x:c>
      <x:c r="D15" s="39" t="str">
        <x:v>0.998902440071106</x:v>
      </x:c>
      <x:c r="E15" s="39" t="str">
        <x:v>0.8715304732322693</x:v>
      </x:c>
      <x:c r="F15" s="39" t="str">
        <x:v>36352</x:v>
      </x:c>
      <x:c r="G15" s="39" t="str">
        <x:v>93440</x:v>
      </x:c>
      <x:c r="H15" s="39" t="str">
        <x:v>images/normal_035/normal_035_c10_normal_035_component_10_contact_sheet_1.png</x:v>
      </x:c>
      <x:c r="I15" s="39" t="str">
        <x:v>overviews/normal_035/normal_035_c1_normal_035_overview_1.png</x:v>
      </x:c>
      <x:c r="J15" s="39" t="str">
        <x:v>outside_node_adipose</x:v>
      </x:c>
      <x:c r="K15" s="39" t="str">
        <x:v>yes</x:v>
      </x:c>
      <x:c r="L15" s="39" t="str"/>
      <x:c r="M15" s="39" t="str">
        <x:v>normal</x:v>
      </x:c>
      <x:c r="N15" s="39" t="str">
        <x:v>outside_node_adipose</x:v>
      </x:c>
      <x:c r="O15" s="39" t="str">
        <x:v>hard_negative</x:v>
      </x:c>
      <x:c r="P15" s="39" t="str">
        <x:v>images/normal_035/normal_035_c10_normal_035_component_10_contact_sheet_1.png</x:v>
      </x:c>
      <x:c r="Q15" s="39" t="str">
        <x:v>review_sorted_ph/outside_node_adipose/slide_id=normal_035_component_id=10_normal_035_c10_normal_035_component_10_contact_sheet_1.png</x:v>
      </x:c>
    </x:row>
    <x:row r="16">
      <x:c r="A16" s="39" t="str">
        <x:v>normal_037</x:v>
      </x:c>
      <x:c r="B16" s="39" t="str">
        <x:v>1</x:v>
      </x:c>
      <x:c r="C16" s="39" t="str">
        <x:v>100</x:v>
      </x:c>
      <x:c r="D16" s="39" t="str">
        <x:v>0.9997257590293884</x:v>
      </x:c>
      <x:c r="E16" s="39" t="str">
        <x:v>0.8185697704553604</x:v>
      </x:c>
      <x:c r="F16" s="39" t="str">
        <x:v>24832</x:v>
      </x:c>
      <x:c r="G16" s="39" t="str">
        <x:v>156800</x:v>
      </x:c>
      <x:c r="H16" s="39" t="str">
        <x:v>images/normal_037/normal_037_c1_normal_037_component_01_contact_sheet_1.png</x:v>
      </x:c>
      <x:c r="I16" s="39" t="str">
        <x:v>overviews/normal_037/normal_037_c1_normal_037_overview_1.png</x:v>
      </x:c>
      <x:c r="J16" s="39" t="str">
        <x:v>benign_not_useful</x:v>
      </x:c>
      <x:c r="K16" s="39" t="str">
        <x:v>no</x:v>
      </x:c>
      <x:c r="L16" s="39" t="str"/>
      <x:c r="M16" s="39" t="str">
        <x:v>normal</x:v>
      </x:c>
      <x:c r="N16" s="39" t="str">
        <x:v>benign_not_useful</x:v>
      </x:c>
      <x:c r="O16" s="39" t="str">
        <x:v>easy_or_not_useful</x:v>
      </x:c>
      <x:c r="P16" s="39" t="str">
        <x:v>images/normal_037/normal_037_c1_normal_037_component_01_contact_sheet_1.png</x:v>
      </x:c>
      <x:c r="Q16" s="39" t="str">
        <x:v>review_sorted_ph/benign_not_useful/slide_id=normal_037_component_id=1_normal_037_c1_normal_037_component_01_contact_sheet_1.png</x:v>
      </x:c>
    </x:row>
    <x:row r="17">
      <x:c r="A17" s="40" t="str">
        <x:v>normal_037</x:v>
      </x:c>
      <x:c r="B17" s="40" t="str">
        <x:v>2</x:v>
      </x:c>
      <x:c r="C17" s="40" t="str">
        <x:v>95</x:v>
      </x:c>
      <x:c r="D17" s="40" t="str">
        <x:v>0.9999642372131348</x:v>
      </x:c>
      <x:c r="E17" s="40" t="str">
        <x:v>0.8261908167286923</x:v>
      </x:c>
      <x:c r="F17" s="40" t="str">
        <x:v>21760</x:v>
      </x:c>
      <x:c r="G17" s="40" t="str">
        <x:v>161920</x:v>
      </x:c>
      <x:c r="H17" s="40" t="str">
        <x:v>images/normal_037/normal_037_c2_normal_037_component_02_contact_sheet_1.png</x:v>
      </x:c>
      <x:c r="I17" s="40" t="str">
        <x:v>overviews/normal_037/normal_037_c1_normal_037_overview_1.png</x:v>
      </x:c>
      <x:c r="J17" s="40" t="str">
        <x:v>sinus_histiocytosis</x:v>
      </x:c>
      <x:c r="K17" s="40" t="str">
        <x:v>yes</x:v>
      </x:c>
      <x:c r="L17" s="40" t="str"/>
      <x:c r="M17" s="40" t="str">
        <x:v>normal</x:v>
      </x:c>
      <x:c r="N17" s="40" t="str">
        <x:v>sinus_histiocytosis</x:v>
      </x:c>
      <x:c r="O17" s="40" t="str">
        <x:v>hard_negative</x:v>
      </x:c>
      <x:c r="P17" s="40" t="str">
        <x:v>images/normal_037/normal_037_c2_normal_037_component_02_contact_sheet_1.png</x:v>
      </x:c>
      <x:c r="Q17" s="40" t="str">
        <x:v>review_sorted_ph/sinus_histiocytosis/slide_id=normal_037_component_id=2_normal_037_c2_normal_037_component_02_contact_sheet_1.png</x:v>
      </x:c>
    </x:row>
    <x:row r="18">
      <x:c r="A18" s="48" t="str">
        <x:v>Reponses initiales PH — copie brute non modifiee dans ce classeur.</x:v>
      </x:c>
    </x:row>
  </x:sheetData>
  <x:mergeCells>
    <x:mergeCell ref="A18:Q18"/>
  </x:mergeCells>
  <x:pageMargins left="0.7" right="0.7" top="0.75" bottom="0.75" header="0.3" footer="0.3"/>
  <x:tableParts count="1">
    <x:tablePart xmlns:r="http://schemas.openxmlformats.org/officeDocument/2006/relationships" r:id="R0d949157ba654f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5" hidden="0" customWidth="1"/>
    <x:col min="3" max="3" width="11" hidden="0" customWidth="1"/>
    <x:col min="4" max="4" width="11" hidden="0" customWidth="1"/>
    <x:col min="5" max="5" width="15" hidden="0" customWidth="1"/>
    <x:col min="6" max="6" width="15" hidden="0" customWidth="1"/>
    <x:col min="7" max="7" width="13" hidden="0" customWidth="1"/>
    <x:col min="8" max="8" width="27" hidden="0" customWidth="1"/>
    <x:col min="9" max="9" width="27" hidden="0" customWidth="1"/>
    <x:col min="10" max="10" width="15" hidden="0" customWidth="1"/>
    <x:col min="11" max="11" width="23" hidden="0" customWidth="1"/>
    <x:col min="12" max="12" width="23" hidden="0" customWidth="1"/>
    <x:col min="13" max="13" width="14" hidden="0" customWidth="1"/>
    <x:col min="14" max="14" width="15" hidden="0" customWidth="1"/>
    <x:col min="15" max="15" width="15" hidden="0" customWidth="1"/>
    <x:col min="16" max="16" width="13" hidden="0" customWidth="1"/>
    <x:col min="17" max="17" width="13" hidden="0" customWidth="1"/>
    <x:col min="18" max="18" width="25" hidden="0" customWidth="1"/>
    <x:col min="19" max="19" width="24" hidden="0" customWidth="1"/>
    <x:col min="20" max="20" width="24" hidden="0" customWidth="1"/>
    <x:col min="21" max="21" width="32" hidden="0" customWidth="1"/>
    <x:col min="22" max="22" width="32" hidden="0" customWidth="1"/>
  </x:cols>
  <x:sheetData>
    <x:row r="1">
      <x:c r="A1" s="72" t="str">
        <x:v>Cle</x:v>
      </x:c>
      <x:c r="B1" s="73" t="str">
        <x:v>Lame</x:v>
      </x:c>
      <x:c r="C1" s="73" t="str">
        <x:v>Composante</x:v>
      </x:c>
      <x:c r="D1" s="73" t="str">
        <x:v>Nb patchs</x:v>
      </x:c>
      <x:c r="E1" s="73" t="str">
        <x:v>Binaire junior</x:v>
      </x:c>
      <x:c r="F1" s="73" t="str">
        <x:v>Binaire PH</x:v>
      </x:c>
      <x:c r="G1" s="73" t="str">
        <x:v>Accord binaire</x:v>
      </x:c>
      <x:c r="H1" s="73" t="str">
        <x:v>Morphologie junior</x:v>
      </x:c>
      <x:c r="I1" s="73" t="str">
        <x:v>Morphologie PH</x:v>
      </x:c>
      <x:c r="J1" s="73" t="str">
        <x:v>Accord morphologie</x:v>
      </x:c>
      <x:c r="K1" s="73" t="str">
        <x:v>Difficulte junior</x:v>
      </x:c>
      <x:c r="L1" s="73" t="str">
        <x:v>Difficulte PH</x:v>
      </x:c>
      <x:c r="M1" s="73" t="str">
        <x:v>Accord difficulte</x:v>
      </x:c>
      <x:c r="N1" s="73" t="str">
        <x:v>Inclusion junior</x:v>
      </x:c>
      <x:c r="O1" s="73" t="str">
        <x:v>Inclusion PH</x:v>
      </x:c>
      <x:c r="P1" s="73" t="str">
        <x:v>Accord inclusion</x:v>
      </x:c>
      <x:c r="Q1" s="73" t="str">
        <x:v>Accord complet</x:v>
      </x:c>
      <x:c r="R1" s="73" t="str">
        <x:v>Champs a discuter</x:v>
      </x:c>
      <x:c r="S1" s="73" t="str">
        <x:v>Notes junior</x:v>
      </x:c>
      <x:c r="T1" s="73" t="str">
        <x:v>Notes PH</x:v>
      </x:c>
      <x:c r="U1" s="73" t="str">
        <x:v>Planche contact</x:v>
      </x:c>
      <x:c r="V1" s="74" t="str">
        <x:v>Vue WSI</x:v>
      </x:c>
    </x:row>
    <x:row r="2">
      <x:c r="A2" s="38" t="str">
        <x:f>'Junior Raw'!A2&amp;"|"&amp;'Junior Raw'!B2</x:f>
        <x:v>normal_034|1</x:v>
      </x:c>
      <x:c r="B2" s="38" t="str">
        <x:f>'Junior Raw'!A2</x:f>
        <x:v>normal_034</x:v>
      </x:c>
      <x:c r="C2" s="38" t="str">
        <x:f>'Junior Raw'!B2</x:f>
        <x:v>1</x:v>
      </x:c>
      <x:c r="D2" s="38" t="str">
        <x:f>'Junior Raw'!C2</x:f>
        <x:v>82</x:v>
      </x:c>
      <x:c r="E2" s="38" t="str">
        <x:f>'Junior Raw'!M2</x:f>
        <x:v>normal</x:v>
      </x:c>
      <x:c r="F2" s="38" t="str">
        <x:f>'PH Raw'!M2</x:f>
        <x:v>normal</x:v>
      </x:c>
      <x:c r="G2" s="38" t="str">
        <x:f>IF(E2=F2,"Oui","Non")</x:f>
        <x:v>Oui</x:v>
      </x:c>
      <x:c r="H2" s="38" t="str">
        <x:f>'Junior Raw'!N2</x:f>
        <x:v>fibrosis_stroma_benign</x:v>
      </x:c>
      <x:c r="I2" s="38" t="str">
        <x:f>'PH Raw'!N2</x:f>
        <x:v>other_hard_negative</x:v>
      </x:c>
      <x:c r="J2" s="38" t="str">
        <x:f>IF(H2=I2,"Oui","Non")</x:f>
        <x:v>Non</x:v>
      </x:c>
      <x:c r="K2" s="38" t="str">
        <x:f>'Junior Raw'!O2</x:f>
        <x:v>hard_negative</x:v>
      </x:c>
      <x:c r="L2" s="38" t="str">
        <x:f>'PH Raw'!O2</x:f>
        <x:v>hard_negative</x:v>
      </x:c>
      <x:c r="M2" s="38" t="str">
        <x:f>IF(K2=L2,"Oui","Non")</x:f>
        <x:v>Oui</x:v>
      </x:c>
      <x:c r="N2" s="38" t="str">
        <x:f>'Junior Raw'!K2</x:f>
        <x:v>yes</x:v>
      </x:c>
      <x:c r="O2" s="38" t="str">
        <x:f>'PH Raw'!K2</x:f>
        <x:v>yes</x:v>
      </x:c>
      <x:c r="P2" s="38" t="str">
        <x:f>IF(N2=O2,"Oui","Non")</x:f>
        <x:v>Oui</x:v>
      </x:c>
      <x:c r="Q2" s="38" t="str">
        <x:f>IF(AND(G2="Oui",J2="Oui",M2="Oui",P2="Oui"),"Oui","Non")</x:f>
        <x:v>Non</x:v>
      </x:c>
      <x:c r="R2" s="38" t="str">
        <x:f>IF(Q2="Oui","Accord complet",IF(G2="Non","Binaire","")&amp;IF(AND(G2="Non",OR(J2="Non",M2="Non",P2="Non"))," + ","")&amp;IF(J2="Non","Morphologie","")&amp;IF(AND(J2="Non",OR(M2="Non",P2="Non"))," + ","")&amp;IF(M2="Non","Difficulte","")&amp;IF(AND(M2="Non",P2="Non")," + ","")&amp;IF(P2="Non","Inclusion",""))</x:f>
        <x:v>Morphologie</x:v>
      </x:c>
      <x:c r="S2" s="38" t="str">
        <x:f>'Junior Raw'!L2</x:f>
      </x:c>
      <x:c r="T2" s="38" t="str">
        <x:f>'PH Raw'!L2</x:f>
      </x:c>
      <x:c r="U2" s="38" t="str">
        <x:f>'Junior Raw'!H2</x:f>
        <x:v>images/normal_034/normal_034_c1_normal_034_component_01_contact_sheet_1.png</x:v>
      </x:c>
      <x:c r="V2" s="38" t="str">
        <x:f>'Junior Raw'!I2</x:f>
        <x:v>overviews/normal_034/normal_034_c1_normal_034_overview_1.png</x:v>
      </x:c>
    </x:row>
    <x:row r="3">
      <x:c r="A3" s="39" t="str">
        <x:f>'Junior Raw'!A3&amp;"|"&amp;'Junior Raw'!B3</x:f>
        <x:v>normal_034|2</x:v>
      </x:c>
      <x:c r="B3" s="39" t="str">
        <x:f>'Junior Raw'!A3</x:f>
        <x:v>normal_034</x:v>
      </x:c>
      <x:c r="C3" s="39" t="str">
        <x:f>'Junior Raw'!B3</x:f>
        <x:v>2</x:v>
      </x:c>
      <x:c r="D3" s="39" t="str">
        <x:f>'Junior Raw'!C3</x:f>
        <x:v>52</x:v>
      </x:c>
      <x:c r="E3" s="39" t="str">
        <x:f>'Junior Raw'!M3</x:f>
        <x:v>normal</x:v>
      </x:c>
      <x:c r="F3" s="39" t="str">
        <x:f>'PH Raw'!M3</x:f>
        <x:v>normal</x:v>
      </x:c>
      <x:c r="G3" s="39" t="str">
        <x:f>IF(E3=F3,"Oui","Non")</x:f>
        <x:v>Oui</x:v>
      </x:c>
      <x:c r="H3" s="39" t="str">
        <x:f>'Junior Raw'!N3</x:f>
        <x:v>vessel_lumen</x:v>
      </x:c>
      <x:c r="I3" s="39" t="str">
        <x:f>'PH Raw'!N3</x:f>
        <x:v>vessel_lumen</x:v>
      </x:c>
      <x:c r="J3" s="39" t="str">
        <x:f>IF(H3=I3,"Oui","Non")</x:f>
        <x:v>Oui</x:v>
      </x:c>
      <x:c r="K3" s="39" t="str">
        <x:f>'Junior Raw'!O3</x:f>
        <x:v>hard_negative</x:v>
      </x:c>
      <x:c r="L3" s="39" t="str">
        <x:f>'PH Raw'!O3</x:f>
        <x:v>hard_negative</x:v>
      </x:c>
      <x:c r="M3" s="39" t="str">
        <x:f>IF(K3=L3,"Oui","Non")</x:f>
        <x:v>Oui</x:v>
      </x:c>
      <x:c r="N3" s="39" t="str">
        <x:f>'Junior Raw'!K3</x:f>
        <x:v>yes</x:v>
      </x:c>
      <x:c r="O3" s="39" t="str">
        <x:f>'PH Raw'!K3</x:f>
        <x:v>yes</x:v>
      </x:c>
      <x:c r="P3" s="39" t="str">
        <x:f>IF(N3=O3,"Oui","Non")</x:f>
        <x:v>Oui</x:v>
      </x:c>
      <x:c r="Q3" s="39" t="str">
        <x:f>IF(AND(G3="Oui",J3="Oui",M3="Oui",P3="Oui"),"Oui","Non")</x:f>
        <x:v>Oui</x:v>
      </x:c>
      <x:c r="R3" s="39" t="str">
        <x:f>IF(Q3="Oui","Accord complet",IF(G3="Non","Binaire","")&amp;IF(AND(G3="Non",OR(J3="Non",M3="Non",P3="Non"))," + ","")&amp;IF(J3="Non","Morphologie","")&amp;IF(AND(J3="Non",OR(M3="Non",P3="Non"))," + ","")&amp;IF(M3="Non","Difficulte","")&amp;IF(AND(M3="Non",P3="Non")," + ","")&amp;IF(P3="Non","Inclusion",""))</x:f>
        <x:v>Accord complet</x:v>
      </x:c>
      <x:c r="S3" s="39" t="str">
        <x:f>'Junior Raw'!L3</x:f>
      </x:c>
      <x:c r="T3" s="39" t="str">
        <x:f>'PH Raw'!L3</x:f>
      </x:c>
      <x:c r="U3" s="39" t="str">
        <x:f>'Junior Raw'!H3</x:f>
        <x:v>images/normal_034/normal_034_c2_normal_034_component_02_contact_sheet_1.png</x:v>
      </x:c>
      <x:c r="V3" s="39" t="str">
        <x:f>'Junior Raw'!I3</x:f>
        <x:v>overviews/normal_034/normal_034_c1_normal_034_overview_1.png</x:v>
      </x:c>
    </x:row>
    <x:row r="4">
      <x:c r="A4" s="39" t="str">
        <x:f>'Junior Raw'!A4&amp;"|"&amp;'Junior Raw'!B4</x:f>
        <x:v>normal_034|3</x:v>
      </x:c>
      <x:c r="B4" s="39" t="str">
        <x:f>'Junior Raw'!A4</x:f>
        <x:v>normal_034</x:v>
      </x:c>
      <x:c r="C4" s="39" t="str">
        <x:f>'Junior Raw'!B4</x:f>
        <x:v>3</x:v>
      </x:c>
      <x:c r="D4" s="39" t="str">
        <x:f>'Junior Raw'!C4</x:f>
        <x:v>47</x:v>
      </x:c>
      <x:c r="E4" s="39" t="str">
        <x:f>'Junior Raw'!M4</x:f>
        <x:v>normal</x:v>
      </x:c>
      <x:c r="F4" s="39" t="str">
        <x:f>'PH Raw'!M4</x:f>
        <x:v>normal</x:v>
      </x:c>
      <x:c r="G4" s="39" t="str">
        <x:f>IF(E4=F4,"Oui","Non")</x:f>
        <x:v>Oui</x:v>
      </x:c>
      <x:c r="H4" s="39" t="str">
        <x:f>'Junior Raw'!N4</x:f>
        <x:v>vessel_lumen</x:v>
      </x:c>
      <x:c r="I4" s="39" t="str">
        <x:f>'PH Raw'!N4</x:f>
        <x:v>vessel_lumen</x:v>
      </x:c>
      <x:c r="J4" s="39" t="str">
        <x:f>IF(H4=I4,"Oui","Non")</x:f>
        <x:v>Oui</x:v>
      </x:c>
      <x:c r="K4" s="39" t="str">
        <x:f>'Junior Raw'!O4</x:f>
        <x:v>hard_negative</x:v>
      </x:c>
      <x:c r="L4" s="39" t="str">
        <x:f>'PH Raw'!O4</x:f>
        <x:v>hard_negative</x:v>
      </x:c>
      <x:c r="M4" s="39" t="str">
        <x:f>IF(K4=L4,"Oui","Non")</x:f>
        <x:v>Oui</x:v>
      </x:c>
      <x:c r="N4" s="39" t="str">
        <x:f>'Junior Raw'!K4</x:f>
        <x:v>yes</x:v>
      </x:c>
      <x:c r="O4" s="39" t="str">
        <x:f>'PH Raw'!K4</x:f>
        <x:v>yes</x:v>
      </x:c>
      <x:c r="P4" s="39" t="str">
        <x:f>IF(N4=O4,"Oui","Non")</x:f>
        <x:v>Oui</x:v>
      </x:c>
      <x:c r="Q4" s="39" t="str">
        <x:f>IF(AND(G4="Oui",J4="Oui",M4="Oui",P4="Oui"),"Oui","Non")</x:f>
        <x:v>Oui</x:v>
      </x:c>
      <x:c r="R4" s="39" t="str">
        <x:f>IF(Q4="Oui","Accord complet",IF(G4="Non","Binaire","")&amp;IF(AND(G4="Non",OR(J4="Non",M4="Non",P4="Non"))," + ","")&amp;IF(J4="Non","Morphologie","")&amp;IF(AND(J4="Non",OR(M4="Non",P4="Non"))," + ","")&amp;IF(M4="Non","Difficulte","")&amp;IF(AND(M4="Non",P4="Non")," + ","")&amp;IF(P4="Non","Inclusion",""))</x:f>
        <x:v>Accord complet</x:v>
      </x:c>
      <x:c r="S4" s="39" t="str">
        <x:f>'Junior Raw'!L4</x:f>
      </x:c>
      <x:c r="T4" s="39" t="str">
        <x:f>'PH Raw'!L4</x:f>
      </x:c>
      <x:c r="U4" s="39" t="str">
        <x:f>'Junior Raw'!H4</x:f>
        <x:v>images/normal_034/normal_034_c3_normal_034_component_03_contact_sheet_1.png</x:v>
      </x:c>
      <x:c r="V4" s="39" t="str">
        <x:f>'Junior Raw'!I4</x:f>
        <x:v>overviews/normal_034/normal_034_c1_normal_034_overview_1.png</x:v>
      </x:c>
    </x:row>
    <x:row r="5">
      <x:c r="A5" s="39" t="str">
        <x:f>'Junior Raw'!A5&amp;"|"&amp;'Junior Raw'!B5</x:f>
        <x:v>normal_034|4</x:v>
      </x:c>
      <x:c r="B5" s="39" t="str">
        <x:f>'Junior Raw'!A5</x:f>
        <x:v>normal_034</x:v>
      </x:c>
      <x:c r="C5" s="39" t="str">
        <x:f>'Junior Raw'!B5</x:f>
        <x:v>4</x:v>
      </x:c>
      <x:c r="D5" s="39" t="str">
        <x:f>'Junior Raw'!C5</x:f>
        <x:v>45</x:v>
      </x:c>
      <x:c r="E5" s="39" t="str">
        <x:f>'Junior Raw'!M5</x:f>
        <x:v>normal</x:v>
      </x:c>
      <x:c r="F5" s="39" t="str">
        <x:f>'PH Raw'!M5</x:f>
        <x:v>normal</x:v>
      </x:c>
      <x:c r="G5" s="39" t="str">
        <x:f>IF(E5=F5,"Oui","Non")</x:f>
        <x:v>Oui</x:v>
      </x:c>
      <x:c r="H5" s="39" t="str">
        <x:f>'Junior Raw'!N5</x:f>
        <x:v>generic_artifact</x:v>
      </x:c>
      <x:c r="I5" s="39" t="str">
        <x:f>'PH Raw'!N5</x:f>
        <x:v>other_hard_negative</x:v>
      </x:c>
      <x:c r="J5" s="39" t="str">
        <x:f>IF(H5=I5,"Oui","Non")</x:f>
        <x:v>Non</x:v>
      </x:c>
      <x:c r="K5" s="39" t="str">
        <x:f>'Junior Raw'!O5</x:f>
        <x:v>hard_negative</x:v>
      </x:c>
      <x:c r="L5" s="39" t="str">
        <x:f>'PH Raw'!O5</x:f>
        <x:v>hard_negative</x:v>
      </x:c>
      <x:c r="M5" s="39" t="str">
        <x:f>IF(K5=L5,"Oui","Non")</x:f>
        <x:v>Oui</x:v>
      </x:c>
      <x:c r="N5" s="39" t="str">
        <x:f>'Junior Raw'!K5</x:f>
        <x:v>yes</x:v>
      </x:c>
      <x:c r="O5" s="39" t="str">
        <x:f>'PH Raw'!K5</x:f>
        <x:v>yes</x:v>
      </x:c>
      <x:c r="P5" s="39" t="str">
        <x:f>IF(N5=O5,"Oui","Non")</x:f>
        <x:v>Oui</x:v>
      </x:c>
      <x:c r="Q5" s="39" t="str">
        <x:f>IF(AND(G5="Oui",J5="Oui",M5="Oui",P5="Oui"),"Oui","Non")</x:f>
        <x:v>Non</x:v>
      </x:c>
      <x:c r="R5" s="39" t="str">
        <x:f>IF(Q5="Oui","Accord complet",IF(G5="Non","Binaire","")&amp;IF(AND(G5="Non",OR(J5="Non",M5="Non",P5="Non"))," + ","")&amp;IF(J5="Non","Morphologie","")&amp;IF(AND(J5="Non",OR(M5="Non",P5="Non"))," + ","")&amp;IF(M5="Non","Difficulte","")&amp;IF(AND(M5="Non",P5="Non")," + ","")&amp;IF(P5="Non","Inclusion",""))</x:f>
        <x:v>Morphologie</x:v>
      </x:c>
      <x:c r="S5" s="39" t="str">
        <x:f>'Junior Raw'!L5</x:f>
      </x:c>
      <x:c r="T5" s="39" t="str">
        <x:f>'PH Raw'!L5</x:f>
      </x:c>
      <x:c r="U5" s="39" t="str">
        <x:f>'Junior Raw'!H5</x:f>
        <x:v>images/normal_034/normal_034_c4_normal_034_component_04_contact_sheet_1.png</x:v>
      </x:c>
      <x:c r="V5" s="39" t="str">
        <x:f>'Junior Raw'!I5</x:f>
        <x:v>overviews/normal_034/normal_034_c1_normal_034_overview_1.png</x:v>
      </x:c>
    </x:row>
    <x:row r="6">
      <x:c r="A6" s="39" t="str">
        <x:f>'Junior Raw'!A6&amp;"|"&amp;'Junior Raw'!B6</x:f>
        <x:v>normal_035|1</x:v>
      </x:c>
      <x:c r="B6" s="39" t="str">
        <x:f>'Junior Raw'!A6</x:f>
        <x:v>normal_035</x:v>
      </x:c>
      <x:c r="C6" s="39" t="str">
        <x:f>'Junior Raw'!B6</x:f>
        <x:v>1</x:v>
      </x:c>
      <x:c r="D6" s="39" t="str">
        <x:f>'Junior Raw'!C6</x:f>
        <x:v>99</x:v>
      </x:c>
      <x:c r="E6" s="39" t="str">
        <x:f>'Junior Raw'!M6</x:f>
        <x:v>normal</x:v>
      </x:c>
      <x:c r="F6" s="39" t="str">
        <x:f>'PH Raw'!M6</x:f>
        <x:v>normal</x:v>
      </x:c>
      <x:c r="G6" s="39" t="str">
        <x:f>IF(E6=F6,"Oui","Non")</x:f>
        <x:v>Oui</x:v>
      </x:c>
      <x:c r="H6" s="39" t="str">
        <x:f>'Junior Raw'!N6</x:f>
        <x:v>generic_artifact</x:v>
      </x:c>
      <x:c r="I6" s="39" t="str">
        <x:f>'PH Raw'!N6</x:f>
        <x:v>outside_node_adipose</x:v>
      </x:c>
      <x:c r="J6" s="39" t="str">
        <x:f>IF(H6=I6,"Oui","Non")</x:f>
        <x:v>Non</x:v>
      </x:c>
      <x:c r="K6" s="39" t="str">
        <x:f>'Junior Raw'!O6</x:f>
        <x:v>hard_negative</x:v>
      </x:c>
      <x:c r="L6" s="39" t="str">
        <x:f>'PH Raw'!O6</x:f>
        <x:v>hard_negative</x:v>
      </x:c>
      <x:c r="M6" s="39" t="str">
        <x:f>IF(K6=L6,"Oui","Non")</x:f>
        <x:v>Oui</x:v>
      </x:c>
      <x:c r="N6" s="39" t="str">
        <x:f>'Junior Raw'!K6</x:f>
        <x:v>yes</x:v>
      </x:c>
      <x:c r="O6" s="39" t="str">
        <x:f>'PH Raw'!K6</x:f>
        <x:v>yes</x:v>
      </x:c>
      <x:c r="P6" s="39" t="str">
        <x:f>IF(N6=O6,"Oui","Non")</x:f>
        <x:v>Oui</x:v>
      </x:c>
      <x:c r="Q6" s="39" t="str">
        <x:f>IF(AND(G6="Oui",J6="Oui",M6="Oui",P6="Oui"),"Oui","Non")</x:f>
        <x:v>Non</x:v>
      </x:c>
      <x:c r="R6" s="39" t="str">
        <x:f>IF(Q6="Oui","Accord complet",IF(G6="Non","Binaire","")&amp;IF(AND(G6="Non",OR(J6="Non",M6="Non",P6="Non"))," + ","")&amp;IF(J6="Non","Morphologie","")&amp;IF(AND(J6="Non",OR(M6="Non",P6="Non"))," + ","")&amp;IF(M6="Non","Difficulte","")&amp;IF(AND(M6="Non",P6="Non")," + ","")&amp;IF(P6="Non","Inclusion",""))</x:f>
        <x:v>Morphologie</x:v>
      </x:c>
      <x:c r="S6" s="39" t="str">
        <x:f>'Junior Raw'!L6</x:f>
      </x:c>
      <x:c r="T6" s="39" t="str">
        <x:f>'PH Raw'!L6</x:f>
      </x:c>
      <x:c r="U6" s="39" t="str">
        <x:f>'Junior Raw'!H6</x:f>
        <x:v>images/normal_035/normal_035_c1_normal_035_component_01_contact_sheet_1.png</x:v>
      </x:c>
      <x:c r="V6" s="39" t="str">
        <x:f>'Junior Raw'!I6</x:f>
        <x:v>overviews/normal_035/normal_035_c1_normal_035_overview_1.png</x:v>
      </x:c>
    </x:row>
    <x:row r="7">
      <x:c r="A7" s="39" t="str">
        <x:f>'Junior Raw'!A7&amp;"|"&amp;'Junior Raw'!B7</x:f>
        <x:v>normal_035|2</x:v>
      </x:c>
      <x:c r="B7" s="39" t="str">
        <x:f>'Junior Raw'!A7</x:f>
        <x:v>normal_035</x:v>
      </x:c>
      <x:c r="C7" s="39" t="str">
        <x:f>'Junior Raw'!B7</x:f>
        <x:v>2</x:v>
      </x:c>
      <x:c r="D7" s="39" t="str">
        <x:f>'Junior Raw'!C7</x:f>
        <x:v>88</x:v>
      </x:c>
      <x:c r="E7" s="39" t="str">
        <x:f>'Junior Raw'!M7</x:f>
        <x:v>normal</x:v>
      </x:c>
      <x:c r="F7" s="39" t="str">
        <x:f>'PH Raw'!M7</x:f>
        <x:v>normal</x:v>
      </x:c>
      <x:c r="G7" s="39" t="str">
        <x:f>IF(E7=F7,"Oui","Non")</x:f>
        <x:v>Oui</x:v>
      </x:c>
      <x:c r="H7" s="39" t="str">
        <x:f>'Junior Raw'!N7</x:f>
        <x:v>fibrosis_stroma_benign</x:v>
      </x:c>
      <x:c r="I7" s="39" t="str">
        <x:f>'PH Raw'!N7</x:f>
        <x:v>outside_node_adipose</x:v>
      </x:c>
      <x:c r="J7" s="39" t="str">
        <x:f>IF(H7=I7,"Oui","Non")</x:f>
        <x:v>Non</x:v>
      </x:c>
      <x:c r="K7" s="39" t="str">
        <x:f>'Junior Raw'!O7</x:f>
        <x:v>hard_negative</x:v>
      </x:c>
      <x:c r="L7" s="39" t="str">
        <x:f>'PH Raw'!O7</x:f>
        <x:v>hard_negative</x:v>
      </x:c>
      <x:c r="M7" s="39" t="str">
        <x:f>IF(K7=L7,"Oui","Non")</x:f>
        <x:v>Oui</x:v>
      </x:c>
      <x:c r="N7" s="39" t="str">
        <x:f>'Junior Raw'!K7</x:f>
        <x:v>yes</x:v>
      </x:c>
      <x:c r="O7" s="39" t="str">
        <x:f>'PH Raw'!K7</x:f>
        <x:v>yes</x:v>
      </x:c>
      <x:c r="P7" s="39" t="str">
        <x:f>IF(N7=O7,"Oui","Non")</x:f>
        <x:v>Oui</x:v>
      </x:c>
      <x:c r="Q7" s="39" t="str">
        <x:f>IF(AND(G7="Oui",J7="Oui",M7="Oui",P7="Oui"),"Oui","Non")</x:f>
        <x:v>Non</x:v>
      </x:c>
      <x:c r="R7" s="39" t="str">
        <x:f>IF(Q7="Oui","Accord complet",IF(G7="Non","Binaire","")&amp;IF(AND(G7="Non",OR(J7="Non",M7="Non",P7="Non"))," + ","")&amp;IF(J7="Non","Morphologie","")&amp;IF(AND(J7="Non",OR(M7="Non",P7="Non"))," + ","")&amp;IF(M7="Non","Difficulte","")&amp;IF(AND(M7="Non",P7="Non")," + ","")&amp;IF(P7="Non","Inclusion",""))</x:f>
        <x:v>Morphologie</x:v>
      </x:c>
      <x:c r="S7" s="39" t="str">
        <x:f>'Junior Raw'!L7</x:f>
      </x:c>
      <x:c r="T7" s="39" t="str">
        <x:f>'PH Raw'!L7</x:f>
      </x:c>
      <x:c r="U7" s="39" t="str">
        <x:f>'Junior Raw'!H7</x:f>
        <x:v>images/normal_035/normal_035_c2_normal_035_component_02_contact_sheet_1.png</x:v>
      </x:c>
      <x:c r="V7" s="39" t="str">
        <x:f>'Junior Raw'!I7</x:f>
        <x:v>overviews/normal_035/normal_035_c1_normal_035_overview_1.png</x:v>
      </x:c>
    </x:row>
    <x:row r="8">
      <x:c r="A8" s="39" t="str">
        <x:f>'Junior Raw'!A8&amp;"|"&amp;'Junior Raw'!B8</x:f>
        <x:v>normal_035|3</x:v>
      </x:c>
      <x:c r="B8" s="39" t="str">
        <x:f>'Junior Raw'!A8</x:f>
        <x:v>normal_035</x:v>
      </x:c>
      <x:c r="C8" s="39" t="str">
        <x:f>'Junior Raw'!B8</x:f>
        <x:v>3</x:v>
      </x:c>
      <x:c r="D8" s="39" t="str">
        <x:f>'Junior Raw'!C8</x:f>
        <x:v>80</x:v>
      </x:c>
      <x:c r="E8" s="39" t="str">
        <x:f>'Junior Raw'!M8</x:f>
        <x:v>normal</x:v>
      </x:c>
      <x:c r="F8" s="39" t="str">
        <x:f>'PH Raw'!M8</x:f>
        <x:v>normal</x:v>
      </x:c>
      <x:c r="G8" s="39" t="str">
        <x:f>IF(E8=F8,"Oui","Non")</x:f>
        <x:v>Oui</x:v>
      </x:c>
      <x:c r="H8" s="39" t="str">
        <x:f>'Junior Raw'!N8</x:f>
        <x:v>electrocoagulation_artifact</x:v>
      </x:c>
      <x:c r="I8" s="39" t="str">
        <x:f>'PH Raw'!N8</x:f>
        <x:v>outside_node_adipose</x:v>
      </x:c>
      <x:c r="J8" s="39" t="str">
        <x:f>IF(H8=I8,"Oui","Non")</x:f>
        <x:v>Non</x:v>
      </x:c>
      <x:c r="K8" s="39" t="str">
        <x:f>'Junior Raw'!O8</x:f>
        <x:v>hard_negative</x:v>
      </x:c>
      <x:c r="L8" s="39" t="str">
        <x:f>'PH Raw'!O8</x:f>
        <x:v>hard_negative</x:v>
      </x:c>
      <x:c r="M8" s="39" t="str">
        <x:f>IF(K8=L8,"Oui","Non")</x:f>
        <x:v>Oui</x:v>
      </x:c>
      <x:c r="N8" s="39" t="str">
        <x:f>'Junior Raw'!K8</x:f>
        <x:v>yes</x:v>
      </x:c>
      <x:c r="O8" s="39" t="str">
        <x:f>'PH Raw'!K8</x:f>
        <x:v>yes</x:v>
      </x:c>
      <x:c r="P8" s="39" t="str">
        <x:f>IF(N8=O8,"Oui","Non")</x:f>
        <x:v>Oui</x:v>
      </x:c>
      <x:c r="Q8" s="39" t="str">
        <x:f>IF(AND(G8="Oui",J8="Oui",M8="Oui",P8="Oui"),"Oui","Non")</x:f>
        <x:v>Non</x:v>
      </x:c>
      <x:c r="R8" s="39" t="str">
        <x:f>IF(Q8="Oui","Accord complet",IF(G8="Non","Binaire","")&amp;IF(AND(G8="Non",OR(J8="Non",M8="Non",P8="Non"))," + ","")&amp;IF(J8="Non","Morphologie","")&amp;IF(AND(J8="Non",OR(M8="Non",P8="Non"))," + ","")&amp;IF(M8="Non","Difficulte","")&amp;IF(AND(M8="Non",P8="Non")," + ","")&amp;IF(P8="Non","Inclusion",""))</x:f>
        <x:v>Morphologie</x:v>
      </x:c>
      <x:c r="S8" s="39" t="str">
        <x:f>'Junior Raw'!L8</x:f>
      </x:c>
      <x:c r="T8" s="39" t="str">
        <x:f>'PH Raw'!L8</x:f>
      </x:c>
      <x:c r="U8" s="39" t="str">
        <x:f>'Junior Raw'!H8</x:f>
        <x:v>images/normal_035/normal_035_c3_normal_035_component_03_contact_sheet_1.png</x:v>
      </x:c>
      <x:c r="V8" s="39" t="str">
        <x:f>'Junior Raw'!I8</x:f>
        <x:v>overviews/normal_035/normal_035_c1_normal_035_overview_1.png</x:v>
      </x:c>
    </x:row>
    <x:row r="9">
      <x:c r="A9" s="39" t="str">
        <x:f>'Junior Raw'!A9&amp;"|"&amp;'Junior Raw'!B9</x:f>
        <x:v>normal_035|4</x:v>
      </x:c>
      <x:c r="B9" s="39" t="str">
        <x:f>'Junior Raw'!A9</x:f>
        <x:v>normal_035</x:v>
      </x:c>
      <x:c r="C9" s="39" t="str">
        <x:f>'Junior Raw'!B9</x:f>
        <x:v>4</x:v>
      </x:c>
      <x:c r="D9" s="39" t="str">
        <x:f>'Junior Raw'!C9</x:f>
        <x:v>68</x:v>
      </x:c>
      <x:c r="E9" s="39" t="str">
        <x:f>'Junior Raw'!M9</x:f>
        <x:v>normal</x:v>
      </x:c>
      <x:c r="F9" s="39" t="str">
        <x:f>'PH Raw'!M9</x:f>
        <x:v>normal</x:v>
      </x:c>
      <x:c r="G9" s="39" t="str">
        <x:f>IF(E9=F9,"Oui","Non")</x:f>
        <x:v>Oui</x:v>
      </x:c>
      <x:c r="H9" s="39" t="str">
        <x:f>'Junior Raw'!N9</x:f>
        <x:v>generic_artifact</x:v>
      </x:c>
      <x:c r="I9" s="39" t="str">
        <x:f>'PH Raw'!N9</x:f>
        <x:v>outside_node_adipose</x:v>
      </x:c>
      <x:c r="J9" s="39" t="str">
        <x:f>IF(H9=I9,"Oui","Non")</x:f>
        <x:v>Non</x:v>
      </x:c>
      <x:c r="K9" s="39" t="str">
        <x:f>'Junior Raw'!O9</x:f>
        <x:v>hard_negative</x:v>
      </x:c>
      <x:c r="L9" s="39" t="str">
        <x:f>'PH Raw'!O9</x:f>
        <x:v>hard_negative</x:v>
      </x:c>
      <x:c r="M9" s="39" t="str">
        <x:f>IF(K9=L9,"Oui","Non")</x:f>
        <x:v>Oui</x:v>
      </x:c>
      <x:c r="N9" s="39" t="str">
        <x:f>'Junior Raw'!K9</x:f>
        <x:v>yes</x:v>
      </x:c>
      <x:c r="O9" s="39" t="str">
        <x:f>'PH Raw'!K9</x:f>
        <x:v>yes</x:v>
      </x:c>
      <x:c r="P9" s="39" t="str">
        <x:f>IF(N9=O9,"Oui","Non")</x:f>
        <x:v>Oui</x:v>
      </x:c>
      <x:c r="Q9" s="39" t="str">
        <x:f>IF(AND(G9="Oui",J9="Oui",M9="Oui",P9="Oui"),"Oui","Non")</x:f>
        <x:v>Non</x:v>
      </x:c>
      <x:c r="R9" s="39" t="str">
        <x:f>IF(Q9="Oui","Accord complet",IF(G9="Non","Binaire","")&amp;IF(AND(G9="Non",OR(J9="Non",M9="Non",P9="Non"))," + ","")&amp;IF(J9="Non","Morphologie","")&amp;IF(AND(J9="Non",OR(M9="Non",P9="Non"))," + ","")&amp;IF(M9="Non","Difficulte","")&amp;IF(AND(M9="Non",P9="Non")," + ","")&amp;IF(P9="Non","Inclusion",""))</x:f>
        <x:v>Morphologie</x:v>
      </x:c>
      <x:c r="S9" s="39" t="str">
        <x:f>'Junior Raw'!L9</x:f>
      </x:c>
      <x:c r="T9" s="39" t="str">
        <x:f>'PH Raw'!L9</x:f>
      </x:c>
      <x:c r="U9" s="39" t="str">
        <x:f>'Junior Raw'!H9</x:f>
        <x:v>images/normal_035/normal_035_c4_normal_035_component_04_contact_sheet_1.png</x:v>
      </x:c>
      <x:c r="V9" s="39" t="str">
        <x:f>'Junior Raw'!I9</x:f>
        <x:v>overviews/normal_035/normal_035_c1_normal_035_overview_1.png</x:v>
      </x:c>
    </x:row>
    <x:row r="10">
      <x:c r="A10" s="39" t="str">
        <x:f>'Junior Raw'!A10&amp;"|"&amp;'Junior Raw'!B10</x:f>
        <x:v>normal_035|5</x:v>
      </x:c>
      <x:c r="B10" s="39" t="str">
        <x:f>'Junior Raw'!A10</x:f>
        <x:v>normal_035</x:v>
      </x:c>
      <x:c r="C10" s="39" t="str">
        <x:f>'Junior Raw'!B10</x:f>
        <x:v>5</x:v>
      </x:c>
      <x:c r="D10" s="39" t="str">
        <x:f>'Junior Raw'!C10</x:f>
        <x:v>63</x:v>
      </x:c>
      <x:c r="E10" s="39" t="str">
        <x:f>'Junior Raw'!M10</x:f>
        <x:v>normal</x:v>
      </x:c>
      <x:c r="F10" s="39" t="str">
        <x:f>'PH Raw'!M10</x:f>
        <x:v>normal</x:v>
      </x:c>
      <x:c r="G10" s="39" t="str">
        <x:f>IF(E10=F10,"Oui","Non")</x:f>
        <x:v>Oui</x:v>
      </x:c>
      <x:c r="H10" s="39" t="str">
        <x:f>'Junior Raw'!N10</x:f>
        <x:v>fibrosis_stroma_benign</x:v>
      </x:c>
      <x:c r="I10" s="39" t="str">
        <x:f>'PH Raw'!N10</x:f>
        <x:v>outside_node_adipose</x:v>
      </x:c>
      <x:c r="J10" s="39" t="str">
        <x:f>IF(H10=I10,"Oui","Non")</x:f>
        <x:v>Non</x:v>
      </x:c>
      <x:c r="K10" s="39" t="str">
        <x:f>'Junior Raw'!O10</x:f>
        <x:v>hard_negative</x:v>
      </x:c>
      <x:c r="L10" s="39" t="str">
        <x:f>'PH Raw'!O10</x:f>
        <x:v>hard_negative</x:v>
      </x:c>
      <x:c r="M10" s="39" t="str">
        <x:f>IF(K10=L10,"Oui","Non")</x:f>
        <x:v>Oui</x:v>
      </x:c>
      <x:c r="N10" s="39" t="str">
        <x:f>'Junior Raw'!K10</x:f>
        <x:v>yes</x:v>
      </x:c>
      <x:c r="O10" s="39" t="str">
        <x:f>'PH Raw'!K10</x:f>
        <x:v>yes</x:v>
      </x:c>
      <x:c r="P10" s="39" t="str">
        <x:f>IF(N10=O10,"Oui","Non")</x:f>
        <x:v>Oui</x:v>
      </x:c>
      <x:c r="Q10" s="39" t="str">
        <x:f>IF(AND(G10="Oui",J10="Oui",M10="Oui",P10="Oui"),"Oui","Non")</x:f>
        <x:v>Non</x:v>
      </x:c>
      <x:c r="R10" s="39" t="str">
        <x:f>IF(Q10="Oui","Accord complet",IF(G10="Non","Binaire","")&amp;IF(AND(G10="Non",OR(J10="Non",M10="Non",P10="Non"))," + ","")&amp;IF(J10="Non","Morphologie","")&amp;IF(AND(J10="Non",OR(M10="Non",P10="Non"))," + ","")&amp;IF(M10="Non","Difficulte","")&amp;IF(AND(M10="Non",P10="Non")," + ","")&amp;IF(P10="Non","Inclusion",""))</x:f>
        <x:v>Morphologie</x:v>
      </x:c>
      <x:c r="S10" s="39" t="str">
        <x:f>'Junior Raw'!L10</x:f>
      </x:c>
      <x:c r="T10" s="39" t="str">
        <x:f>'PH Raw'!L10</x:f>
      </x:c>
      <x:c r="U10" s="39" t="str">
        <x:f>'Junior Raw'!H10</x:f>
        <x:v>images/normal_035/normal_035_c5_normal_035_component_05_contact_sheet_1.png</x:v>
      </x:c>
      <x:c r="V10" s="39" t="str">
        <x:f>'Junior Raw'!I10</x:f>
        <x:v>overviews/normal_035/normal_035_c1_normal_035_overview_1.png</x:v>
      </x:c>
    </x:row>
    <x:row r="11">
      <x:c r="A11" s="39" t="str">
        <x:f>'Junior Raw'!A11&amp;"|"&amp;'Junior Raw'!B11</x:f>
        <x:v>normal_035|6</x:v>
      </x:c>
      <x:c r="B11" s="39" t="str">
        <x:f>'Junior Raw'!A11</x:f>
        <x:v>normal_035</x:v>
      </x:c>
      <x:c r="C11" s="39" t="str">
        <x:f>'Junior Raw'!B11</x:f>
        <x:v>6</x:v>
      </x:c>
      <x:c r="D11" s="39" t="str">
        <x:f>'Junior Raw'!C11</x:f>
        <x:v>55</x:v>
      </x:c>
      <x:c r="E11" s="39" t="str">
        <x:f>'Junior Raw'!M11</x:f>
        <x:v>normal</x:v>
      </x:c>
      <x:c r="F11" s="39" t="str">
        <x:f>'PH Raw'!M11</x:f>
        <x:v>normal</x:v>
      </x:c>
      <x:c r="G11" s="39" t="str">
        <x:f>IF(E11=F11,"Oui","Non")</x:f>
        <x:v>Oui</x:v>
      </x:c>
      <x:c r="H11" s="39" t="str">
        <x:f>'Junior Raw'!N11</x:f>
        <x:v>fibrosis_stroma_benign</x:v>
      </x:c>
      <x:c r="I11" s="39" t="str">
        <x:f>'PH Raw'!N11</x:f>
        <x:v>outside_node_adipose</x:v>
      </x:c>
      <x:c r="J11" s="39" t="str">
        <x:f>IF(H11=I11,"Oui","Non")</x:f>
        <x:v>Non</x:v>
      </x:c>
      <x:c r="K11" s="39" t="str">
        <x:f>'Junior Raw'!O11</x:f>
        <x:v>hard_negative</x:v>
      </x:c>
      <x:c r="L11" s="39" t="str">
        <x:f>'PH Raw'!O11</x:f>
        <x:v>hard_negative</x:v>
      </x:c>
      <x:c r="M11" s="39" t="str">
        <x:f>IF(K11=L11,"Oui","Non")</x:f>
        <x:v>Oui</x:v>
      </x:c>
      <x:c r="N11" s="39" t="str">
        <x:f>'Junior Raw'!K11</x:f>
        <x:v>yes</x:v>
      </x:c>
      <x:c r="O11" s="39" t="str">
        <x:f>'PH Raw'!K11</x:f>
        <x:v>yes</x:v>
      </x:c>
      <x:c r="P11" s="39" t="str">
        <x:f>IF(N11=O11,"Oui","Non")</x:f>
        <x:v>Oui</x:v>
      </x:c>
      <x:c r="Q11" s="39" t="str">
        <x:f>IF(AND(G11="Oui",J11="Oui",M11="Oui",P11="Oui"),"Oui","Non")</x:f>
        <x:v>Non</x:v>
      </x:c>
      <x:c r="R11" s="39" t="str">
        <x:f>IF(Q11="Oui","Accord complet",IF(G11="Non","Binaire","")&amp;IF(AND(G11="Non",OR(J11="Non",M11="Non",P11="Non"))," + ","")&amp;IF(J11="Non","Morphologie","")&amp;IF(AND(J11="Non",OR(M11="Non",P11="Non"))," + ","")&amp;IF(M11="Non","Difficulte","")&amp;IF(AND(M11="Non",P11="Non")," + ","")&amp;IF(P11="Non","Inclusion",""))</x:f>
        <x:v>Morphologie</x:v>
      </x:c>
      <x:c r="S11" s="39" t="str">
        <x:f>'Junior Raw'!L11</x:f>
      </x:c>
      <x:c r="T11" s="39" t="str">
        <x:f>'PH Raw'!L11</x:f>
      </x:c>
      <x:c r="U11" s="39" t="str">
        <x:f>'Junior Raw'!H11</x:f>
        <x:v>images/normal_035/normal_035_c6_normal_035_component_06_contact_sheet_1.png</x:v>
      </x:c>
      <x:c r="V11" s="39" t="str">
        <x:f>'Junior Raw'!I11</x:f>
        <x:v>overviews/normal_035/normal_035_c1_normal_035_overview_1.png</x:v>
      </x:c>
    </x:row>
    <x:row r="12">
      <x:c r="A12" s="39" t="str">
        <x:f>'Junior Raw'!A12&amp;"|"&amp;'Junior Raw'!B12</x:f>
        <x:v>normal_035|7</x:v>
      </x:c>
      <x:c r="B12" s="39" t="str">
        <x:f>'Junior Raw'!A12</x:f>
        <x:v>normal_035</x:v>
      </x:c>
      <x:c r="C12" s="39" t="str">
        <x:f>'Junior Raw'!B12</x:f>
        <x:v>7</x:v>
      </x:c>
      <x:c r="D12" s="39" t="str">
        <x:f>'Junior Raw'!C12</x:f>
        <x:v>49</x:v>
      </x:c>
      <x:c r="E12" s="39" t="str">
        <x:f>'Junior Raw'!M12</x:f>
        <x:v>normal</x:v>
      </x:c>
      <x:c r="F12" s="39" t="str">
        <x:f>'PH Raw'!M12</x:f>
        <x:v>normal</x:v>
      </x:c>
      <x:c r="G12" s="39" t="str">
        <x:f>IF(E12=F12,"Oui","Non")</x:f>
        <x:v>Oui</x:v>
      </x:c>
      <x:c r="H12" s="39" t="str">
        <x:f>'Junior Raw'!N12</x:f>
        <x:v>fibrosis_stroma_benign</x:v>
      </x:c>
      <x:c r="I12" s="39" t="str">
        <x:f>'PH Raw'!N12</x:f>
        <x:v>outside_node_adipose</x:v>
      </x:c>
      <x:c r="J12" s="39" t="str">
        <x:f>IF(H12=I12,"Oui","Non")</x:f>
        <x:v>Non</x:v>
      </x:c>
      <x:c r="K12" s="39" t="str">
        <x:f>'Junior Raw'!O12</x:f>
        <x:v>hard_negative</x:v>
      </x:c>
      <x:c r="L12" s="39" t="str">
        <x:f>'PH Raw'!O12</x:f>
        <x:v>hard_negative</x:v>
      </x:c>
      <x:c r="M12" s="39" t="str">
        <x:f>IF(K12=L12,"Oui","Non")</x:f>
        <x:v>Oui</x:v>
      </x:c>
      <x:c r="N12" s="39" t="str">
        <x:f>'Junior Raw'!K12</x:f>
        <x:v>yes</x:v>
      </x:c>
      <x:c r="O12" s="39" t="str">
        <x:f>'PH Raw'!K12</x:f>
        <x:v>yes</x:v>
      </x:c>
      <x:c r="P12" s="39" t="str">
        <x:f>IF(N12=O12,"Oui","Non")</x:f>
        <x:v>Oui</x:v>
      </x:c>
      <x:c r="Q12" s="39" t="str">
        <x:f>IF(AND(G12="Oui",J12="Oui",M12="Oui",P12="Oui"),"Oui","Non")</x:f>
        <x:v>Non</x:v>
      </x:c>
      <x:c r="R12" s="39" t="str">
        <x:f>IF(Q12="Oui","Accord complet",IF(G12="Non","Binaire","")&amp;IF(AND(G12="Non",OR(J12="Non",M12="Non",P12="Non"))," + ","")&amp;IF(J12="Non","Morphologie","")&amp;IF(AND(J12="Non",OR(M12="Non",P12="Non"))," + ","")&amp;IF(M12="Non","Difficulte","")&amp;IF(AND(M12="Non",P12="Non")," + ","")&amp;IF(P12="Non","Inclusion",""))</x:f>
        <x:v>Morphologie</x:v>
      </x:c>
      <x:c r="S12" s="39" t="str">
        <x:f>'Junior Raw'!L12</x:f>
      </x:c>
      <x:c r="T12" s="39" t="str">
        <x:f>'PH Raw'!L12</x:f>
      </x:c>
      <x:c r="U12" s="39" t="str">
        <x:f>'Junior Raw'!H12</x:f>
        <x:v>images/normal_035/normal_035_c7_normal_035_component_07_contact_sheet_1.png</x:v>
      </x:c>
      <x:c r="V12" s="39" t="str">
        <x:f>'Junior Raw'!I12</x:f>
        <x:v>overviews/normal_035/normal_035_c1_normal_035_overview_1.png</x:v>
      </x:c>
    </x:row>
    <x:row r="13">
      <x:c r="A13" s="39" t="str">
        <x:f>'Junior Raw'!A13&amp;"|"&amp;'Junior Raw'!B13</x:f>
        <x:v>normal_035|8</x:v>
      </x:c>
      <x:c r="B13" s="39" t="str">
        <x:f>'Junior Raw'!A13</x:f>
        <x:v>normal_035</x:v>
      </x:c>
      <x:c r="C13" s="39" t="str">
        <x:f>'Junior Raw'!B13</x:f>
        <x:v>8</x:v>
      </x:c>
      <x:c r="D13" s="39" t="str">
        <x:f>'Junior Raw'!C13</x:f>
        <x:v>47</x:v>
      </x:c>
      <x:c r="E13" s="39" t="str">
        <x:f>'Junior Raw'!M13</x:f>
        <x:v>normal</x:v>
      </x:c>
      <x:c r="F13" s="39" t="str">
        <x:f>'PH Raw'!M13</x:f>
        <x:v>normal</x:v>
      </x:c>
      <x:c r="G13" s="39" t="str">
        <x:f>IF(E13=F13,"Oui","Non")</x:f>
        <x:v>Oui</x:v>
      </x:c>
      <x:c r="H13" s="39" t="str">
        <x:f>'Junior Raw'!N13</x:f>
        <x:v>fibrosis_stroma_benign</x:v>
      </x:c>
      <x:c r="I13" s="39" t="str">
        <x:f>'PH Raw'!N13</x:f>
        <x:v>outside_node_adipose</x:v>
      </x:c>
      <x:c r="J13" s="39" t="str">
        <x:f>IF(H13=I13,"Oui","Non")</x:f>
        <x:v>Non</x:v>
      </x:c>
      <x:c r="K13" s="39" t="str">
        <x:f>'Junior Raw'!O13</x:f>
        <x:v>hard_negative</x:v>
      </x:c>
      <x:c r="L13" s="39" t="str">
        <x:f>'PH Raw'!O13</x:f>
        <x:v>hard_negative</x:v>
      </x:c>
      <x:c r="M13" s="39" t="str">
        <x:f>IF(K13=L13,"Oui","Non")</x:f>
        <x:v>Oui</x:v>
      </x:c>
      <x:c r="N13" s="39" t="str">
        <x:f>'Junior Raw'!K13</x:f>
        <x:v>yes</x:v>
      </x:c>
      <x:c r="O13" s="39" t="str">
        <x:f>'PH Raw'!K13</x:f>
        <x:v>yes</x:v>
      </x:c>
      <x:c r="P13" s="39" t="str">
        <x:f>IF(N13=O13,"Oui","Non")</x:f>
        <x:v>Oui</x:v>
      </x:c>
      <x:c r="Q13" s="39" t="str">
        <x:f>IF(AND(G13="Oui",J13="Oui",M13="Oui",P13="Oui"),"Oui","Non")</x:f>
        <x:v>Non</x:v>
      </x:c>
      <x:c r="R13" s="39" t="str">
        <x:f>IF(Q13="Oui","Accord complet",IF(G13="Non","Binaire","")&amp;IF(AND(G13="Non",OR(J13="Non",M13="Non",P13="Non"))," + ","")&amp;IF(J13="Non","Morphologie","")&amp;IF(AND(J13="Non",OR(M13="Non",P13="Non"))," + ","")&amp;IF(M13="Non","Difficulte","")&amp;IF(AND(M13="Non",P13="Non")," + ","")&amp;IF(P13="Non","Inclusion",""))</x:f>
        <x:v>Morphologie</x:v>
      </x:c>
      <x:c r="S13" s="39" t="str">
        <x:f>'Junior Raw'!L13</x:f>
      </x:c>
      <x:c r="T13" s="39" t="str">
        <x:f>'PH Raw'!L13</x:f>
      </x:c>
      <x:c r="U13" s="39" t="str">
        <x:f>'Junior Raw'!H13</x:f>
        <x:v>images/normal_035/normal_035_c8_normal_035_component_08_contact_sheet_1.png</x:v>
      </x:c>
      <x:c r="V13" s="39" t="str">
        <x:f>'Junior Raw'!I13</x:f>
        <x:v>overviews/normal_035/normal_035_c1_normal_035_overview_1.png</x:v>
      </x:c>
    </x:row>
    <x:row r="14">
      <x:c r="A14" s="39" t="str">
        <x:f>'Junior Raw'!A14&amp;"|"&amp;'Junior Raw'!B14</x:f>
        <x:v>normal_035|9</x:v>
      </x:c>
      <x:c r="B14" s="39" t="str">
        <x:f>'Junior Raw'!A14</x:f>
        <x:v>normal_035</x:v>
      </x:c>
      <x:c r="C14" s="39" t="str">
        <x:f>'Junior Raw'!B14</x:f>
        <x:v>9</x:v>
      </x:c>
      <x:c r="D14" s="39" t="str">
        <x:f>'Junior Raw'!C14</x:f>
        <x:v>44</x:v>
      </x:c>
      <x:c r="E14" s="39" t="str">
        <x:f>'Junior Raw'!M14</x:f>
        <x:v>normal</x:v>
      </x:c>
      <x:c r="F14" s="39" t="str">
        <x:f>'PH Raw'!M14</x:f>
        <x:v>normal</x:v>
      </x:c>
      <x:c r="G14" s="39" t="str">
        <x:f>IF(E14=F14,"Oui","Non")</x:f>
        <x:v>Oui</x:v>
      </x:c>
      <x:c r="H14" s="39" t="str">
        <x:f>'Junior Raw'!N14</x:f>
        <x:v>fibrosis_stroma_benign</x:v>
      </x:c>
      <x:c r="I14" s="39" t="str">
        <x:f>'PH Raw'!N14</x:f>
        <x:v>outside_node_adipose</x:v>
      </x:c>
      <x:c r="J14" s="39" t="str">
        <x:f>IF(H14=I14,"Oui","Non")</x:f>
        <x:v>Non</x:v>
      </x:c>
      <x:c r="K14" s="39" t="str">
        <x:f>'Junior Raw'!O14</x:f>
        <x:v>hard_negative</x:v>
      </x:c>
      <x:c r="L14" s="39" t="str">
        <x:f>'PH Raw'!O14</x:f>
        <x:v>hard_negative</x:v>
      </x:c>
      <x:c r="M14" s="39" t="str">
        <x:f>IF(K14=L14,"Oui","Non")</x:f>
        <x:v>Oui</x:v>
      </x:c>
      <x:c r="N14" s="39" t="str">
        <x:f>'Junior Raw'!K14</x:f>
        <x:v>yes</x:v>
      </x:c>
      <x:c r="O14" s="39" t="str">
        <x:f>'PH Raw'!K14</x:f>
        <x:v>yes</x:v>
      </x:c>
      <x:c r="P14" s="39" t="str">
        <x:f>IF(N14=O14,"Oui","Non")</x:f>
        <x:v>Oui</x:v>
      </x:c>
      <x:c r="Q14" s="39" t="str">
        <x:f>IF(AND(G14="Oui",J14="Oui",M14="Oui",P14="Oui"),"Oui","Non")</x:f>
        <x:v>Non</x:v>
      </x:c>
      <x:c r="R14" s="39" t="str">
        <x:f>IF(Q14="Oui","Accord complet",IF(G14="Non","Binaire","")&amp;IF(AND(G14="Non",OR(J14="Non",M14="Non",P14="Non"))," + ","")&amp;IF(J14="Non","Morphologie","")&amp;IF(AND(J14="Non",OR(M14="Non",P14="Non"))," + ","")&amp;IF(M14="Non","Difficulte","")&amp;IF(AND(M14="Non",P14="Non")," + ","")&amp;IF(P14="Non","Inclusion",""))</x:f>
        <x:v>Morphologie</x:v>
      </x:c>
      <x:c r="S14" s="39" t="str">
        <x:f>'Junior Raw'!L14</x:f>
      </x:c>
      <x:c r="T14" s="39" t="str">
        <x:f>'PH Raw'!L14</x:f>
      </x:c>
      <x:c r="U14" s="39" t="str">
        <x:f>'Junior Raw'!H14</x:f>
        <x:v>images/normal_035/normal_035_c9_normal_035_component_09_contact_sheet_1.png</x:v>
      </x:c>
      <x:c r="V14" s="39" t="str">
        <x:f>'Junior Raw'!I14</x:f>
        <x:v>overviews/normal_035/normal_035_c1_normal_035_overview_1.png</x:v>
      </x:c>
    </x:row>
    <x:row r="15">
      <x:c r="A15" s="39" t="str">
        <x:f>'Junior Raw'!A15&amp;"|"&amp;'Junior Raw'!B15</x:f>
        <x:v>normal_035|10</x:v>
      </x:c>
      <x:c r="B15" s="39" t="str">
        <x:f>'Junior Raw'!A15</x:f>
        <x:v>normal_035</x:v>
      </x:c>
      <x:c r="C15" s="39" t="str">
        <x:f>'Junior Raw'!B15</x:f>
        <x:v>10</x:v>
      </x:c>
      <x:c r="D15" s="39" t="str">
        <x:f>'Junior Raw'!C15</x:f>
        <x:v>41</x:v>
      </x:c>
      <x:c r="E15" s="39" t="str">
        <x:f>'Junior Raw'!M15</x:f>
        <x:v>normal</x:v>
      </x:c>
      <x:c r="F15" s="39" t="str">
        <x:f>'PH Raw'!M15</x:f>
        <x:v>normal</x:v>
      </x:c>
      <x:c r="G15" s="39" t="str">
        <x:f>IF(E15=F15,"Oui","Non")</x:f>
        <x:v>Oui</x:v>
      </x:c>
      <x:c r="H15" s="39" t="str">
        <x:f>'Junior Raw'!N15</x:f>
        <x:v>fibrosis_stroma_benign</x:v>
      </x:c>
      <x:c r="I15" s="39" t="str">
        <x:f>'PH Raw'!N15</x:f>
        <x:v>outside_node_adipose</x:v>
      </x:c>
      <x:c r="J15" s="39" t="str">
        <x:f>IF(H15=I15,"Oui","Non")</x:f>
        <x:v>Non</x:v>
      </x:c>
      <x:c r="K15" s="39" t="str">
        <x:f>'Junior Raw'!O15</x:f>
        <x:v>hard_negative</x:v>
      </x:c>
      <x:c r="L15" s="39" t="str">
        <x:f>'PH Raw'!O15</x:f>
        <x:v>hard_negative</x:v>
      </x:c>
      <x:c r="M15" s="39" t="str">
        <x:f>IF(K15=L15,"Oui","Non")</x:f>
        <x:v>Oui</x:v>
      </x:c>
      <x:c r="N15" s="39" t="str">
        <x:f>'Junior Raw'!K15</x:f>
        <x:v>yes</x:v>
      </x:c>
      <x:c r="O15" s="39" t="str">
        <x:f>'PH Raw'!K15</x:f>
        <x:v>yes</x:v>
      </x:c>
      <x:c r="P15" s="39" t="str">
        <x:f>IF(N15=O15,"Oui","Non")</x:f>
        <x:v>Oui</x:v>
      </x:c>
      <x:c r="Q15" s="39" t="str">
        <x:f>IF(AND(G15="Oui",J15="Oui",M15="Oui",P15="Oui"),"Oui","Non")</x:f>
        <x:v>Non</x:v>
      </x:c>
      <x:c r="R15" s="39" t="str">
        <x:f>IF(Q15="Oui","Accord complet",IF(G15="Non","Binaire","")&amp;IF(AND(G15="Non",OR(J15="Non",M15="Non",P15="Non"))," + ","")&amp;IF(J15="Non","Morphologie","")&amp;IF(AND(J15="Non",OR(M15="Non",P15="Non"))," + ","")&amp;IF(M15="Non","Difficulte","")&amp;IF(AND(M15="Non",P15="Non")," + ","")&amp;IF(P15="Non","Inclusion",""))</x:f>
        <x:v>Morphologie</x:v>
      </x:c>
      <x:c r="S15" s="39" t="str">
        <x:f>'Junior Raw'!L15</x:f>
      </x:c>
      <x:c r="T15" s="39" t="str">
        <x:f>'PH Raw'!L15</x:f>
      </x:c>
      <x:c r="U15" s="39" t="str">
        <x:f>'Junior Raw'!H15</x:f>
        <x:v>images/normal_035/normal_035_c10_normal_035_component_10_contact_sheet_1.png</x:v>
      </x:c>
      <x:c r="V15" s="39" t="str">
        <x:f>'Junior Raw'!I15</x:f>
        <x:v>overviews/normal_035/normal_035_c1_normal_035_overview_1.png</x:v>
      </x:c>
    </x:row>
    <x:row r="16">
      <x:c r="A16" s="39" t="str">
        <x:f>'Junior Raw'!A16&amp;"|"&amp;'Junior Raw'!B16</x:f>
        <x:v>normal_037|1</x:v>
      </x:c>
      <x:c r="B16" s="39" t="str">
        <x:f>'Junior Raw'!A16</x:f>
        <x:v>normal_037</x:v>
      </x:c>
      <x:c r="C16" s="39" t="str">
        <x:f>'Junior Raw'!B16</x:f>
        <x:v>1</x:v>
      </x:c>
      <x:c r="D16" s="39" t="str">
        <x:f>'Junior Raw'!C16</x:f>
        <x:v>100</x:v>
      </x:c>
      <x:c r="E16" s="39" t="str">
        <x:f>'Junior Raw'!M16</x:f>
        <x:v>normal</x:v>
      </x:c>
      <x:c r="F16" s="39" t="str">
        <x:f>'PH Raw'!M16</x:f>
        <x:v>normal</x:v>
      </x:c>
      <x:c r="G16" s="39" t="str">
        <x:f>IF(E16=F16,"Oui","Non")</x:f>
        <x:v>Oui</x:v>
      </x:c>
      <x:c r="H16" s="39" t="str">
        <x:f>'Junior Raw'!N16</x:f>
        <x:v>necrosis_coagulation_benign</x:v>
      </x:c>
      <x:c r="I16" s="39" t="str">
        <x:f>'PH Raw'!N16</x:f>
        <x:v>benign_not_useful</x:v>
      </x:c>
      <x:c r="J16" s="39" t="str">
        <x:f>IF(H16=I16,"Oui","Non")</x:f>
        <x:v>Non</x:v>
      </x:c>
      <x:c r="K16" s="39" t="str">
        <x:f>'Junior Raw'!O16</x:f>
        <x:v>hard_negative</x:v>
      </x:c>
      <x:c r="L16" s="39" t="str">
        <x:f>'PH Raw'!O16</x:f>
        <x:v>easy_or_not_useful</x:v>
      </x:c>
      <x:c r="M16" s="39" t="str">
        <x:f>IF(K16=L16,"Oui","Non")</x:f>
        <x:v>Non</x:v>
      </x:c>
      <x:c r="N16" s="39" t="str">
        <x:f>'Junior Raw'!K16</x:f>
        <x:v>yes</x:v>
      </x:c>
      <x:c r="O16" s="39" t="str">
        <x:f>'PH Raw'!K16</x:f>
        <x:v>no</x:v>
      </x:c>
      <x:c r="P16" s="39" t="str">
        <x:f>IF(N16=O16,"Oui","Non")</x:f>
        <x:v>Non</x:v>
      </x:c>
      <x:c r="Q16" s="39" t="str">
        <x:f>IF(AND(G16="Oui",J16="Oui",M16="Oui",P16="Oui"),"Oui","Non")</x:f>
        <x:v>Non</x:v>
      </x:c>
      <x:c r="R16" s="39" t="str">
        <x:f>IF(Q16="Oui","Accord complet",IF(G16="Non","Binaire","")&amp;IF(AND(G16="Non",OR(J16="Non",M16="Non",P16="Non"))," + ","")&amp;IF(J16="Non","Morphologie","")&amp;IF(AND(J16="Non",OR(M16="Non",P16="Non"))," + ","")&amp;IF(M16="Non","Difficulte","")&amp;IF(AND(M16="Non",P16="Non")," + ","")&amp;IF(P16="Non","Inclusion",""))</x:f>
        <x:v>Morphologie + Difficulte + Inclusion</x:v>
      </x:c>
      <x:c r="S16" s="39" t="str">
        <x:f>'Junior Raw'!L16</x:f>
      </x:c>
      <x:c r="T16" s="39" t="str">
        <x:f>'PH Raw'!L16</x:f>
      </x:c>
      <x:c r="U16" s="39" t="str">
        <x:f>'Junior Raw'!H16</x:f>
        <x:v>images/normal_037/normal_037_c1_normal_037_component_01_contact_sheet_1.png</x:v>
      </x:c>
      <x:c r="V16" s="39" t="str">
        <x:f>'Junior Raw'!I16</x:f>
        <x:v>overviews/normal_037/normal_037_c1_normal_037_overview_1.png</x:v>
      </x:c>
    </x:row>
    <x:row r="17">
      <x:c r="A17" s="40" t="str">
        <x:f>'Junior Raw'!A17&amp;"|"&amp;'Junior Raw'!B17</x:f>
        <x:v>normal_037|2</x:v>
      </x:c>
      <x:c r="B17" s="40" t="str">
        <x:f>'Junior Raw'!A17</x:f>
        <x:v>normal_037</x:v>
      </x:c>
      <x:c r="C17" s="40" t="str">
        <x:f>'Junior Raw'!B17</x:f>
        <x:v>2</x:v>
      </x:c>
      <x:c r="D17" s="40" t="str">
        <x:f>'Junior Raw'!C17</x:f>
        <x:v>95</x:v>
      </x:c>
      <x:c r="E17" s="40" t="str">
        <x:f>'Junior Raw'!M17</x:f>
        <x:v>normal</x:v>
      </x:c>
      <x:c r="F17" s="40" t="str">
        <x:f>'PH Raw'!M17</x:f>
        <x:v>normal</x:v>
      </x:c>
      <x:c r="G17" s="40" t="str">
        <x:f>IF(E17=F17,"Oui","Non")</x:f>
        <x:v>Oui</x:v>
      </x:c>
      <x:c r="H17" s="40" t="str">
        <x:f>'Junior Raw'!N17</x:f>
        <x:v>sinus_histiocytosis</x:v>
      </x:c>
      <x:c r="I17" s="40" t="str">
        <x:f>'PH Raw'!N17</x:f>
        <x:v>sinus_histiocytosis</x:v>
      </x:c>
      <x:c r="J17" s="40" t="str">
        <x:f>IF(H17=I17,"Oui","Non")</x:f>
        <x:v>Oui</x:v>
      </x:c>
      <x:c r="K17" s="40" t="str">
        <x:f>'Junior Raw'!O17</x:f>
        <x:v>hard_negative</x:v>
      </x:c>
      <x:c r="L17" s="40" t="str">
        <x:f>'PH Raw'!O17</x:f>
        <x:v>hard_negative</x:v>
      </x:c>
      <x:c r="M17" s="40" t="str">
        <x:f>IF(K17=L17,"Oui","Non")</x:f>
        <x:v>Oui</x:v>
      </x:c>
      <x:c r="N17" s="40" t="str">
        <x:f>'Junior Raw'!K17</x:f>
        <x:v>yes</x:v>
      </x:c>
      <x:c r="O17" s="40" t="str">
        <x:f>'PH Raw'!K17</x:f>
        <x:v>yes</x:v>
      </x:c>
      <x:c r="P17" s="40" t="str">
        <x:f>IF(N17=O17,"Oui","Non")</x:f>
        <x:v>Oui</x:v>
      </x:c>
      <x:c r="Q17" s="40" t="str">
        <x:f>IF(AND(G17="Oui",J17="Oui",M17="Oui",P17="Oui"),"Oui","Non")</x:f>
        <x:v>Oui</x:v>
      </x:c>
      <x:c r="R17" s="40" t="str">
        <x:f>IF(Q17="Oui","Accord complet",IF(G17="Non","Binaire","")&amp;IF(AND(G17="Non",OR(J17="Non",M17="Non",P17="Non"))," + ","")&amp;IF(J17="Non","Morphologie","")&amp;IF(AND(J17="Non",OR(M17="Non",P17="Non"))," + ","")&amp;IF(M17="Non","Difficulte","")&amp;IF(AND(M17="Non",P17="Non")," + ","")&amp;IF(P17="Non","Inclusion",""))</x:f>
        <x:v>Accord complet</x:v>
      </x:c>
      <x:c r="S17" s="40" t="n">
        <x:f>'Junior Raw'!L17</x:f>
        <x:v>0</x:v>
      </x:c>
      <x:c r="T17" s="40" t="n">
        <x:f>'PH Raw'!L17</x:f>
        <x:v>0</x:v>
      </x:c>
      <x:c r="U17" s="40" t="str">
        <x:f>'Junior Raw'!H17</x:f>
        <x:v>images/normal_037/normal_037_c2_normal_037_component_02_contact_sheet_1.png</x:v>
      </x:c>
      <x:c r="V17" s="40" t="str">
        <x:f>'Junior Raw'!I17</x:f>
        <x:v>overviews/normal_037/normal_037_c1_normal_037_overview_1.png</x:v>
      </x:c>
    </x:row>
  </x:sheetData>
  <x:conditionalFormatting sqref="G2:G17">
    <x:cfRule type="expression" dxfId="0" priority="1">
      <x:formula>G2="Oui"</x:formula>
    </x:cfRule>
    <x:cfRule type="expression" dxfId="1" priority="2">
      <x:formula>G2="Non"</x:formula>
    </x:cfRule>
  </x:conditionalFormatting>
  <x:conditionalFormatting sqref="J2:J17">
    <x:cfRule type="expression" dxfId="2" priority="3">
      <x:formula>J2="Oui"</x:formula>
    </x:cfRule>
    <x:cfRule type="expression" dxfId="3" priority="4">
      <x:formula>J2="Non"</x:formula>
    </x:cfRule>
  </x:conditionalFormatting>
  <x:conditionalFormatting sqref="M2:M17">
    <x:cfRule type="expression" dxfId="4" priority="5">
      <x:formula>M2="Oui"</x:formula>
    </x:cfRule>
    <x:cfRule type="expression" dxfId="5" priority="6">
      <x:formula>M2="Non"</x:formula>
    </x:cfRule>
  </x:conditionalFormatting>
  <x:conditionalFormatting sqref="P2:P17">
    <x:cfRule type="expression" dxfId="6" priority="7">
      <x:formula>P2="Oui"</x:formula>
    </x:cfRule>
    <x:cfRule type="expression" dxfId="7" priority="8">
      <x:formula>P2="Non"</x:formula>
    </x:cfRule>
  </x:conditionalFormatting>
  <x:conditionalFormatting sqref="Q2:Q17">
    <x:cfRule type="expression" dxfId="8" priority="9">
      <x:formula>Q2="Oui"</x:formula>
    </x:cfRule>
    <x:cfRule type="expression" dxfId="9" priority="10">
      <x:formula>Q2="Non"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06d7eaa8d746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28" hidden="0" customWidth="1"/>
    <x:col min="4" max="4" width="28" hidden="0" customWidth="1"/>
    <x:col min="5" max="5" width="22" hidden="0" customWidth="1"/>
    <x:col min="6" max="6" width="22" hidden="0" customWidth="1"/>
    <x:col min="7" max="7" width="15" hidden="0" customWidth="1"/>
    <x:col min="8" max="8" width="15" hidden="0" customWidth="1"/>
    <x:col min="9" max="9" width="26" hidden="0" customWidth="1"/>
    <x:col min="10" max="10" width="24" hidden="0" customWidth="1"/>
    <x:col min="11" max="11" width="24" hidden="0" customWidth="1"/>
  </x:cols>
  <x:sheetData>
    <x:row r="1">
      <x:c r="A1" s="100" t="str">
        <x:v>Lame</x:v>
      </x:c>
      <x:c r="B1" s="101" t="str">
        <x:v>Composante</x:v>
      </x:c>
      <x:c r="C1" s="101" t="str">
        <x:v>Morphologie junior</x:v>
      </x:c>
      <x:c r="D1" s="101" t="str">
        <x:v>Morphologie PH</x:v>
      </x:c>
      <x:c r="E1" s="101" t="str">
        <x:v>Difficulte junior</x:v>
      </x:c>
      <x:c r="F1" s="101" t="str">
        <x:v>Difficulte PH</x:v>
      </x:c>
      <x:c r="G1" s="101" t="str">
        <x:v>Inclusion junior</x:v>
      </x:c>
      <x:c r="H1" s="101" t="str">
        <x:v>Inclusion PH</x:v>
      </x:c>
      <x:c r="I1" s="101" t="str">
        <x:v>Champs a discuter</x:v>
      </x:c>
      <x:c r="J1" s="101" t="str">
        <x:v>Notes junior</x:v>
      </x:c>
      <x:c r="K1" s="102" t="str">
        <x:v>Notes PH</x:v>
      </x:c>
    </x:row>
    <x:row r="2">
      <x:c r="A2" s="38" t="str">
        <x:f>'Comparaison'!B2</x:f>
        <x:v>normal_034</x:v>
      </x:c>
      <x:c r="B2" s="38" t="str">
        <x:f>'Comparaison'!C2</x:f>
        <x:v>1</x:v>
      </x:c>
      <x:c r="C2" s="38" t="str">
        <x:f>'Comparaison'!H2</x:f>
        <x:v>fibrosis_stroma_benign</x:v>
      </x:c>
      <x:c r="D2" s="38" t="str">
        <x:f>'Comparaison'!I2</x:f>
        <x:v>other_hard_negative</x:v>
      </x:c>
      <x:c r="E2" s="38" t="str">
        <x:f>'Comparaison'!K2</x:f>
        <x:v>hard_negative</x:v>
      </x:c>
      <x:c r="F2" s="38" t="str">
        <x:f>'Comparaison'!L2</x:f>
        <x:v>hard_negative</x:v>
      </x:c>
      <x:c r="G2" s="38" t="str">
        <x:f>'Comparaison'!N2</x:f>
        <x:v>yes</x:v>
      </x:c>
      <x:c r="H2" s="38" t="str">
        <x:f>'Comparaison'!O2</x:f>
        <x:v>yes</x:v>
      </x:c>
      <x:c r="I2" s="38" t="str">
        <x:f>'Comparaison'!R2</x:f>
        <x:v>Morphologie</x:v>
      </x:c>
      <x:c r="J2" s="38" t="str">
        <x:f>'Comparaison'!S2</x:f>
      </x:c>
      <x:c r="K2" s="38" t="str">
        <x:f>'Comparaison'!T2</x:f>
      </x:c>
    </x:row>
    <x:row r="3">
      <x:c r="A3" s="39" t="str">
        <x:f>'Comparaison'!B5</x:f>
        <x:v>normal_034</x:v>
      </x:c>
      <x:c r="B3" s="39" t="str">
        <x:f>'Comparaison'!C5</x:f>
        <x:v>4</x:v>
      </x:c>
      <x:c r="C3" s="39" t="str">
        <x:f>'Comparaison'!H5</x:f>
        <x:v>generic_artifact</x:v>
      </x:c>
      <x:c r="D3" s="39" t="str">
        <x:f>'Comparaison'!I5</x:f>
        <x:v>other_hard_negative</x:v>
      </x:c>
      <x:c r="E3" s="39" t="str">
        <x:f>'Comparaison'!K5</x:f>
        <x:v>hard_negative</x:v>
      </x:c>
      <x:c r="F3" s="39" t="str">
        <x:f>'Comparaison'!L5</x:f>
        <x:v>hard_negative</x:v>
      </x:c>
      <x:c r="G3" s="39" t="str">
        <x:f>'Comparaison'!N5</x:f>
        <x:v>yes</x:v>
      </x:c>
      <x:c r="H3" s="39" t="str">
        <x:f>'Comparaison'!O5</x:f>
        <x:v>yes</x:v>
      </x:c>
      <x:c r="I3" s="39" t="str">
        <x:f>'Comparaison'!R5</x:f>
        <x:v>Morphologie</x:v>
      </x:c>
      <x:c r="J3" s="39" t="str">
        <x:f>'Comparaison'!S5</x:f>
      </x:c>
      <x:c r="K3" s="39" t="str">
        <x:f>'Comparaison'!T5</x:f>
      </x:c>
    </x:row>
    <x:row r="4">
      <x:c r="A4" s="39" t="str">
        <x:f>'Comparaison'!B6</x:f>
        <x:v>normal_035</x:v>
      </x:c>
      <x:c r="B4" s="39" t="str">
        <x:f>'Comparaison'!C6</x:f>
        <x:v>1</x:v>
      </x:c>
      <x:c r="C4" s="39" t="str">
        <x:f>'Comparaison'!H6</x:f>
        <x:v>generic_artifact</x:v>
      </x:c>
      <x:c r="D4" s="39" t="str">
        <x:f>'Comparaison'!I6</x:f>
        <x:v>outside_node_adipose</x:v>
      </x:c>
      <x:c r="E4" s="39" t="str">
        <x:f>'Comparaison'!K6</x:f>
        <x:v>hard_negative</x:v>
      </x:c>
      <x:c r="F4" s="39" t="str">
        <x:f>'Comparaison'!L6</x:f>
        <x:v>hard_negative</x:v>
      </x:c>
      <x:c r="G4" s="39" t="str">
        <x:f>'Comparaison'!N6</x:f>
        <x:v>yes</x:v>
      </x:c>
      <x:c r="H4" s="39" t="str">
        <x:f>'Comparaison'!O6</x:f>
        <x:v>yes</x:v>
      </x:c>
      <x:c r="I4" s="39" t="str">
        <x:f>'Comparaison'!R6</x:f>
        <x:v>Morphologie</x:v>
      </x:c>
      <x:c r="J4" s="39" t="str">
        <x:f>'Comparaison'!S6</x:f>
      </x:c>
      <x:c r="K4" s="39" t="str">
        <x:f>'Comparaison'!T6</x:f>
      </x:c>
    </x:row>
    <x:row r="5">
      <x:c r="A5" s="39" t="str">
        <x:f>'Comparaison'!B7</x:f>
        <x:v>normal_035</x:v>
      </x:c>
      <x:c r="B5" s="39" t="str">
        <x:f>'Comparaison'!C7</x:f>
        <x:v>2</x:v>
      </x:c>
      <x:c r="C5" s="39" t="str">
        <x:f>'Comparaison'!H7</x:f>
        <x:v>fibrosis_stroma_benign</x:v>
      </x:c>
      <x:c r="D5" s="39" t="str">
        <x:f>'Comparaison'!I7</x:f>
        <x:v>outside_node_adipose</x:v>
      </x:c>
      <x:c r="E5" s="39" t="str">
        <x:f>'Comparaison'!K7</x:f>
        <x:v>hard_negative</x:v>
      </x:c>
      <x:c r="F5" s="39" t="str">
        <x:f>'Comparaison'!L7</x:f>
        <x:v>hard_negative</x:v>
      </x:c>
      <x:c r="G5" s="39" t="str">
        <x:f>'Comparaison'!N7</x:f>
        <x:v>yes</x:v>
      </x:c>
      <x:c r="H5" s="39" t="str">
        <x:f>'Comparaison'!O7</x:f>
        <x:v>yes</x:v>
      </x:c>
      <x:c r="I5" s="39" t="str">
        <x:f>'Comparaison'!R7</x:f>
        <x:v>Morphologie</x:v>
      </x:c>
      <x:c r="J5" s="39" t="str">
        <x:f>'Comparaison'!S7</x:f>
      </x:c>
      <x:c r="K5" s="39" t="str">
        <x:f>'Comparaison'!T7</x:f>
      </x:c>
    </x:row>
    <x:row r="6">
      <x:c r="A6" s="39" t="str">
        <x:f>'Comparaison'!B8</x:f>
        <x:v>normal_035</x:v>
      </x:c>
      <x:c r="B6" s="39" t="str">
        <x:f>'Comparaison'!C8</x:f>
        <x:v>3</x:v>
      </x:c>
      <x:c r="C6" s="39" t="str">
        <x:f>'Comparaison'!H8</x:f>
        <x:v>electrocoagulation_artifact</x:v>
      </x:c>
      <x:c r="D6" s="39" t="str">
        <x:f>'Comparaison'!I8</x:f>
        <x:v>outside_node_adipose</x:v>
      </x:c>
      <x:c r="E6" s="39" t="str">
        <x:f>'Comparaison'!K8</x:f>
        <x:v>hard_negative</x:v>
      </x:c>
      <x:c r="F6" s="39" t="str">
        <x:f>'Comparaison'!L8</x:f>
        <x:v>hard_negative</x:v>
      </x:c>
      <x:c r="G6" s="39" t="str">
        <x:f>'Comparaison'!N8</x:f>
        <x:v>yes</x:v>
      </x:c>
      <x:c r="H6" s="39" t="str">
        <x:f>'Comparaison'!O8</x:f>
        <x:v>yes</x:v>
      </x:c>
      <x:c r="I6" s="39" t="str">
        <x:f>'Comparaison'!R8</x:f>
        <x:v>Morphologie</x:v>
      </x:c>
      <x:c r="J6" s="39" t="str">
        <x:f>'Comparaison'!S8</x:f>
      </x:c>
      <x:c r="K6" s="39" t="str">
        <x:f>'Comparaison'!T8</x:f>
      </x:c>
    </x:row>
    <x:row r="7">
      <x:c r="A7" s="39" t="str">
        <x:f>'Comparaison'!B9</x:f>
        <x:v>normal_035</x:v>
      </x:c>
      <x:c r="B7" s="39" t="str">
        <x:f>'Comparaison'!C9</x:f>
        <x:v>4</x:v>
      </x:c>
      <x:c r="C7" s="39" t="str">
        <x:f>'Comparaison'!H9</x:f>
        <x:v>generic_artifact</x:v>
      </x:c>
      <x:c r="D7" s="39" t="str">
        <x:f>'Comparaison'!I9</x:f>
        <x:v>outside_node_adipose</x:v>
      </x:c>
      <x:c r="E7" s="39" t="str">
        <x:f>'Comparaison'!K9</x:f>
        <x:v>hard_negative</x:v>
      </x:c>
      <x:c r="F7" s="39" t="str">
        <x:f>'Comparaison'!L9</x:f>
        <x:v>hard_negative</x:v>
      </x:c>
      <x:c r="G7" s="39" t="str">
        <x:f>'Comparaison'!N9</x:f>
        <x:v>yes</x:v>
      </x:c>
      <x:c r="H7" s="39" t="str">
        <x:f>'Comparaison'!O9</x:f>
        <x:v>yes</x:v>
      </x:c>
      <x:c r="I7" s="39" t="str">
        <x:f>'Comparaison'!R9</x:f>
        <x:v>Morphologie</x:v>
      </x:c>
      <x:c r="J7" s="39" t="str">
        <x:f>'Comparaison'!S9</x:f>
      </x:c>
      <x:c r="K7" s="39" t="str">
        <x:f>'Comparaison'!T9</x:f>
      </x:c>
    </x:row>
    <x:row r="8">
      <x:c r="A8" s="39" t="str">
        <x:f>'Comparaison'!B10</x:f>
        <x:v>normal_035</x:v>
      </x:c>
      <x:c r="B8" s="39" t="str">
        <x:f>'Comparaison'!C10</x:f>
        <x:v>5</x:v>
      </x:c>
      <x:c r="C8" s="39" t="str">
        <x:f>'Comparaison'!H10</x:f>
        <x:v>fibrosis_stroma_benign</x:v>
      </x:c>
      <x:c r="D8" s="39" t="str">
        <x:f>'Comparaison'!I10</x:f>
        <x:v>outside_node_adipose</x:v>
      </x:c>
      <x:c r="E8" s="39" t="str">
        <x:f>'Comparaison'!K10</x:f>
        <x:v>hard_negative</x:v>
      </x:c>
      <x:c r="F8" s="39" t="str">
        <x:f>'Comparaison'!L10</x:f>
        <x:v>hard_negative</x:v>
      </x:c>
      <x:c r="G8" s="39" t="str">
        <x:f>'Comparaison'!N10</x:f>
        <x:v>yes</x:v>
      </x:c>
      <x:c r="H8" s="39" t="str">
        <x:f>'Comparaison'!O10</x:f>
        <x:v>yes</x:v>
      </x:c>
      <x:c r="I8" s="39" t="str">
        <x:f>'Comparaison'!R10</x:f>
        <x:v>Morphologie</x:v>
      </x:c>
      <x:c r="J8" s="39" t="str">
        <x:f>'Comparaison'!S10</x:f>
      </x:c>
      <x:c r="K8" s="39" t="str">
        <x:f>'Comparaison'!T10</x:f>
      </x:c>
    </x:row>
    <x:row r="9">
      <x:c r="A9" s="39" t="str">
        <x:f>'Comparaison'!B11</x:f>
        <x:v>normal_035</x:v>
      </x:c>
      <x:c r="B9" s="39" t="str">
        <x:f>'Comparaison'!C11</x:f>
        <x:v>6</x:v>
      </x:c>
      <x:c r="C9" s="39" t="str">
        <x:f>'Comparaison'!H11</x:f>
        <x:v>fibrosis_stroma_benign</x:v>
      </x:c>
      <x:c r="D9" s="39" t="str">
        <x:f>'Comparaison'!I11</x:f>
        <x:v>outside_node_adipose</x:v>
      </x:c>
      <x:c r="E9" s="39" t="str">
        <x:f>'Comparaison'!K11</x:f>
        <x:v>hard_negative</x:v>
      </x:c>
      <x:c r="F9" s="39" t="str">
        <x:f>'Comparaison'!L11</x:f>
        <x:v>hard_negative</x:v>
      </x:c>
      <x:c r="G9" s="39" t="str">
        <x:f>'Comparaison'!N11</x:f>
        <x:v>yes</x:v>
      </x:c>
      <x:c r="H9" s="39" t="str">
        <x:f>'Comparaison'!O11</x:f>
        <x:v>yes</x:v>
      </x:c>
      <x:c r="I9" s="39" t="str">
        <x:f>'Comparaison'!R11</x:f>
        <x:v>Morphologie</x:v>
      </x:c>
      <x:c r="J9" s="39" t="str">
        <x:f>'Comparaison'!S11</x:f>
      </x:c>
      <x:c r="K9" s="39" t="str">
        <x:f>'Comparaison'!T11</x:f>
      </x:c>
    </x:row>
    <x:row r="10">
      <x:c r="A10" s="39" t="str">
        <x:f>'Comparaison'!B12</x:f>
        <x:v>normal_035</x:v>
      </x:c>
      <x:c r="B10" s="39" t="str">
        <x:f>'Comparaison'!C12</x:f>
        <x:v>7</x:v>
      </x:c>
      <x:c r="C10" s="39" t="str">
        <x:f>'Comparaison'!H12</x:f>
        <x:v>fibrosis_stroma_benign</x:v>
      </x:c>
      <x:c r="D10" s="39" t="str">
        <x:f>'Comparaison'!I12</x:f>
        <x:v>outside_node_adipose</x:v>
      </x:c>
      <x:c r="E10" s="39" t="str">
        <x:f>'Comparaison'!K12</x:f>
        <x:v>hard_negative</x:v>
      </x:c>
      <x:c r="F10" s="39" t="str">
        <x:f>'Comparaison'!L12</x:f>
        <x:v>hard_negative</x:v>
      </x:c>
      <x:c r="G10" s="39" t="str">
        <x:f>'Comparaison'!N12</x:f>
        <x:v>yes</x:v>
      </x:c>
      <x:c r="H10" s="39" t="str">
        <x:f>'Comparaison'!O12</x:f>
        <x:v>yes</x:v>
      </x:c>
      <x:c r="I10" s="39" t="str">
        <x:f>'Comparaison'!R12</x:f>
        <x:v>Morphologie</x:v>
      </x:c>
      <x:c r="J10" s="39" t="str">
        <x:f>'Comparaison'!S12</x:f>
      </x:c>
      <x:c r="K10" s="39" t="str">
        <x:f>'Comparaison'!T12</x:f>
      </x:c>
    </x:row>
    <x:row r="11">
      <x:c r="A11" s="39" t="str">
        <x:f>'Comparaison'!B13</x:f>
        <x:v>normal_035</x:v>
      </x:c>
      <x:c r="B11" s="39" t="str">
        <x:f>'Comparaison'!C13</x:f>
        <x:v>8</x:v>
      </x:c>
      <x:c r="C11" s="39" t="str">
        <x:f>'Comparaison'!H13</x:f>
        <x:v>fibrosis_stroma_benign</x:v>
      </x:c>
      <x:c r="D11" s="39" t="str">
        <x:f>'Comparaison'!I13</x:f>
        <x:v>outside_node_adipose</x:v>
      </x:c>
      <x:c r="E11" s="39" t="str">
        <x:f>'Comparaison'!K13</x:f>
        <x:v>hard_negative</x:v>
      </x:c>
      <x:c r="F11" s="39" t="str">
        <x:f>'Comparaison'!L13</x:f>
        <x:v>hard_negative</x:v>
      </x:c>
      <x:c r="G11" s="39" t="str">
        <x:f>'Comparaison'!N13</x:f>
        <x:v>yes</x:v>
      </x:c>
      <x:c r="H11" s="39" t="str">
        <x:f>'Comparaison'!O13</x:f>
        <x:v>yes</x:v>
      </x:c>
      <x:c r="I11" s="39" t="str">
        <x:f>'Comparaison'!R13</x:f>
        <x:v>Morphologie</x:v>
      </x:c>
      <x:c r="J11" s="39" t="str">
        <x:f>'Comparaison'!S13</x:f>
      </x:c>
      <x:c r="K11" s="39" t="str">
        <x:f>'Comparaison'!T13</x:f>
      </x:c>
    </x:row>
    <x:row r="12">
      <x:c r="A12" s="39" t="str">
        <x:f>'Comparaison'!B14</x:f>
        <x:v>normal_035</x:v>
      </x:c>
      <x:c r="B12" s="39" t="str">
        <x:f>'Comparaison'!C14</x:f>
        <x:v>9</x:v>
      </x:c>
      <x:c r="C12" s="39" t="str">
        <x:f>'Comparaison'!H14</x:f>
        <x:v>fibrosis_stroma_benign</x:v>
      </x:c>
      <x:c r="D12" s="39" t="str">
        <x:f>'Comparaison'!I14</x:f>
        <x:v>outside_node_adipose</x:v>
      </x:c>
      <x:c r="E12" s="39" t="str">
        <x:f>'Comparaison'!K14</x:f>
        <x:v>hard_negative</x:v>
      </x:c>
      <x:c r="F12" s="39" t="str">
        <x:f>'Comparaison'!L14</x:f>
        <x:v>hard_negative</x:v>
      </x:c>
      <x:c r="G12" s="39" t="str">
        <x:f>'Comparaison'!N14</x:f>
        <x:v>yes</x:v>
      </x:c>
      <x:c r="H12" s="39" t="str">
        <x:f>'Comparaison'!O14</x:f>
        <x:v>yes</x:v>
      </x:c>
      <x:c r="I12" s="39" t="str">
        <x:f>'Comparaison'!R14</x:f>
        <x:v>Morphologie</x:v>
      </x:c>
      <x:c r="J12" s="39" t="str">
        <x:f>'Comparaison'!S14</x:f>
      </x:c>
      <x:c r="K12" s="39" t="str">
        <x:f>'Comparaison'!T14</x:f>
      </x:c>
    </x:row>
    <x:row r="13">
      <x:c r="A13" s="39" t="str">
        <x:f>'Comparaison'!B15</x:f>
        <x:v>normal_035</x:v>
      </x:c>
      <x:c r="B13" s="39" t="str">
        <x:f>'Comparaison'!C15</x:f>
        <x:v>10</x:v>
      </x:c>
      <x:c r="C13" s="39" t="str">
        <x:f>'Comparaison'!H15</x:f>
        <x:v>fibrosis_stroma_benign</x:v>
      </x:c>
      <x:c r="D13" s="39" t="str">
        <x:f>'Comparaison'!I15</x:f>
        <x:v>outside_node_adipose</x:v>
      </x:c>
      <x:c r="E13" s="39" t="str">
        <x:f>'Comparaison'!K15</x:f>
        <x:v>hard_negative</x:v>
      </x:c>
      <x:c r="F13" s="39" t="str">
        <x:f>'Comparaison'!L15</x:f>
        <x:v>hard_negative</x:v>
      </x:c>
      <x:c r="G13" s="39" t="str">
        <x:f>'Comparaison'!N15</x:f>
        <x:v>yes</x:v>
      </x:c>
      <x:c r="H13" s="39" t="str">
        <x:f>'Comparaison'!O15</x:f>
        <x:v>yes</x:v>
      </x:c>
      <x:c r="I13" s="39" t="str">
        <x:f>'Comparaison'!R15</x:f>
        <x:v>Morphologie</x:v>
      </x:c>
      <x:c r="J13" s="39" t="str">
        <x:f>'Comparaison'!S15</x:f>
      </x:c>
      <x:c r="K13" s="39" t="str">
        <x:f>'Comparaison'!T15</x:f>
      </x:c>
    </x:row>
    <x:row r="14">
      <x:c r="A14" s="40" t="str">
        <x:f>'Comparaison'!B16</x:f>
        <x:v>normal_037</x:v>
      </x:c>
      <x:c r="B14" s="40" t="str">
        <x:f>'Comparaison'!C16</x:f>
        <x:v>1</x:v>
      </x:c>
      <x:c r="C14" s="40" t="str">
        <x:f>'Comparaison'!H16</x:f>
        <x:v>necrosis_coagulation_benign</x:v>
      </x:c>
      <x:c r="D14" s="40" t="str">
        <x:f>'Comparaison'!I16</x:f>
        <x:v>benign_not_useful</x:v>
      </x:c>
      <x:c r="E14" s="40" t="str">
        <x:f>'Comparaison'!K16</x:f>
        <x:v>hard_negative</x:v>
      </x:c>
      <x:c r="F14" s="40" t="str">
        <x:f>'Comparaison'!L16</x:f>
        <x:v>easy_or_not_useful</x:v>
      </x:c>
      <x:c r="G14" s="40" t="str">
        <x:f>'Comparaison'!N16</x:f>
        <x:v>yes</x:v>
      </x:c>
      <x:c r="H14" s="40" t="str">
        <x:f>'Comparaison'!O16</x:f>
        <x:v>no</x:v>
      </x:c>
      <x:c r="I14" s="40" t="str">
        <x:f>'Comparaison'!R16</x:f>
        <x:v>Morphologie + Difficulte + Inclusion</x:v>
      </x:c>
      <x:c r="J14" s="40" t="str">
        <x:f>'Comparaison'!S16</x:f>
      </x:c>
      <x:c r="K14" s="40" t="str">
        <x:f>'Comparaison'!T16</x:f>
      </x:c>
    </x:row>
  </x:sheetData>
  <x:pageMargins left="0.7" right="0.7" top="0.75" bottom="0.75" header="0.3" footer="0.3"/>
  <x:tableParts count="1">
    <x:tablePart xmlns:r="http://schemas.openxmlformats.org/officeDocument/2006/relationships" r:id="R4ec6f4b0586547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1" hidden="0" customWidth="1"/>
    <x:col min="3" max="3" width="15" hidden="0" customWidth="1"/>
    <x:col min="4" max="4" width="15" hidden="0" customWidth="1"/>
    <x:col min="5" max="5" width="15" hidden="0" customWidth="1"/>
    <x:col min="8" max="8" width="18" hidden="0" customWidth="1"/>
    <x:col min="9" max="9" width="17" hidden="0" customWidth="1"/>
    <x:col min="10" max="10" width="17" hidden="0" customWidth="1"/>
    <x:col min="11" max="11" width="19" hidden="0" customWidth="1"/>
    <x:col min="12" max="12" width="19" hidden="0" customWidth="1"/>
  </x:cols>
  <x:sheetData>
    <x:row r="1">
      <x:c r="A1" s="24" t="str">
        <x:v>Champ</x:v>
      </x:c>
      <x:c r="B1" s="25" t="str">
        <x:v>Categorie</x:v>
      </x:c>
      <x:c r="C1" s="25" t="str">
        <x:v>Junior n</x:v>
      </x:c>
      <x:c r="D1" s="25" t="str">
        <x:v>PH n</x:v>
      </x:c>
      <x:c r="E1" s="26" t="str">
        <x:v>Produit marginal</x:v>
      </x:c>
      <x:c r="H1" s="72" t="str">
        <x:v>Champ</x:v>
      </x:c>
      <x:c r="I1" s="73" t="str">
        <x:v>N</x:v>
      </x:c>
      <x:c r="J1" s="73" t="str">
        <x:v>Accords observes</x:v>
      </x:c>
      <x:c r="K1" s="73" t="str">
        <x:v>Accord attendu Pe</x:v>
      </x:c>
      <x:c r="L1" s="74" t="str">
        <x:v>Kappa</x:v>
      </x:c>
    </x:row>
    <x:row r="2">
      <x:c r="A2" s="38" t="str">
        <x:v>Binaire</x:v>
      </x:c>
      <x:c r="B2" s="38" t="str">
        <x:v>normal</x:v>
      </x:c>
      <x:c r="C2" s="38" t="n">
        <x:f>COUNTIF('Comparaison'!$E$2:$E$17,B2)</x:f>
        <x:v>16</x:v>
      </x:c>
      <x:c r="D2" s="38" t="n">
        <x:f>COUNTIF('Comparaison'!$F$2:$F$17,B2)</x:f>
        <x:v>16</x:v>
      </x:c>
      <x:c r="E2" s="38" t="n">
        <x:f>C2*D2</x:f>
        <x:v>256</x:v>
      </x:c>
      <x:c r="H2" s="38" t="str">
        <x:v>Binaire</x:v>
      </x:c>
      <x:c r="I2" s="38" t="n">
        <x:f>COUNTA('Comparaison'!$A$2:$A$17)</x:f>
        <x:v>16</x:v>
      </x:c>
      <x:c r="J2" s="38" t="n">
        <x:f>COUNTIF('Comparaison'!$G$2:$G$17,"Oui")</x:f>
        <x:v>16</x:v>
      </x:c>
      <x:c r="K2" s="108" t="n">
        <x:f>SUM(E2:E4)/(I2^2)</x:f>
        <x:v>1</x:v>
      </x:c>
      <x:c r="L2" s="114" t="str">
        <x:f>IF(ABS(1-K2)&lt;0.0000001,"NC",(J2/I2-K2)/(1-K2))</x:f>
        <x:v>NC</x:v>
      </x:c>
    </x:row>
    <x:row r="3">
      <x:c r="A3" s="39" t="str">
        <x:v>Binaire</x:v>
      </x:c>
      <x:c r="B3" s="39" t="str">
        <x:v>tumor</x:v>
      </x:c>
      <x:c r="C3" s="39" t="n">
        <x:f>COUNTIF('Comparaison'!$E$2:$E$17,B3)</x:f>
        <x:v>0</x:v>
      </x:c>
      <x:c r="D3" s="39" t="n">
        <x:f>COUNTIF('Comparaison'!$F$2:$F$17,B3)</x:f>
        <x:v>0</x:v>
      </x:c>
      <x:c r="E3" s="39" t="n">
        <x:f>C3*D3</x:f>
        <x:v>0</x:v>
      </x:c>
      <x:c r="H3" s="39" t="str">
        <x:v>Morphologie</x:v>
      </x:c>
      <x:c r="I3" s="39" t="n">
        <x:f>COUNTA('Comparaison'!$A$2:$A$17)</x:f>
        <x:v>16</x:v>
      </x:c>
      <x:c r="J3" s="39" t="n">
        <x:f>COUNTIF('Comparaison'!$J$2:$J$17,"Oui")</x:f>
        <x:v>3</x:v>
      </x:c>
      <x:c r="K3" s="109" t="n">
        <x:f>SUM(E7:E16)/(I3^2)</x:f>
        <x:v>0.01953125</x:v>
      </x:c>
      <x:c r="L3" s="115" t="n">
        <x:f>IF(ABS(1-K3)&lt;0.0000001,"NC",(J3/I3-K3)/(1-K3))</x:f>
        <x:v>0.17131474103585656</x:v>
      </x:c>
    </x:row>
    <x:row r="4">
      <x:c r="A4" s="39" t="str">
        <x:v>Binaire</x:v>
      </x:c>
      <x:c r="B4" s="39" t="str">
        <x:v>(vide)</x:v>
      </x:c>
      <x:c r="C4" s="39" t="n">
        <x:f>COUNTBLANK('Comparaison'!$E$2:$E$17)</x:f>
        <x:v>0</x:v>
      </x:c>
      <x:c r="D4" s="39" t="n">
        <x:f>COUNTBLANK('Comparaison'!$F$2:$F$17)</x:f>
        <x:v>0</x:v>
      </x:c>
      <x:c r="E4" s="39" t="n">
        <x:f>C4*D4</x:f>
        <x:v>0</x:v>
      </x:c>
      <x:c r="H4" s="39" t="str">
        <x:v>Difficulte</x:v>
      </x:c>
      <x:c r="I4" s="39" t="n">
        <x:f>COUNTA('Comparaison'!$A$2:$A$17)</x:f>
        <x:v>16</x:v>
      </x:c>
      <x:c r="J4" s="39" t="n">
        <x:f>COUNTIF('Comparaison'!$M$2:$M$17,"Oui")</x:f>
        <x:v>15</x:v>
      </x:c>
      <x:c r="K4" s="109" t="n">
        <x:f>SUM(E19:E23)/(I4^2)</x:f>
        <x:v>0.9375</x:v>
      </x:c>
      <x:c r="L4" s="115" t="n">
        <x:f>IF(ABS(1-K4)&lt;0.0000001,"NC",(J4/I4-K4)/(1-K4))</x:f>
        <x:v>0</x:v>
      </x:c>
    </x:row>
    <x:row r="5">
      <x:c r="A5" s="39"/>
      <x:c r="B5" s="39"/>
      <x:c r="C5" s="39"/>
      <x:c r="D5" s="39"/>
      <x:c r="E5" s="39"/>
      <x:c r="H5" s="40" t="str">
        <x:v>Inclusion</x:v>
      </x:c>
      <x:c r="I5" s="40" t="n">
        <x:f>COUNTA('Comparaison'!$A$2:$A$17)</x:f>
        <x:v>16</x:v>
      </x:c>
      <x:c r="J5" s="40" t="n">
        <x:f>COUNTIF('Comparaison'!$P$2:$P$17,"Oui")</x:f>
        <x:v>15</x:v>
      </x:c>
      <x:c r="K5" s="110" t="n">
        <x:f>SUM(E26:E28)/(I5^2)</x:f>
        <x:v>0.9375</x:v>
      </x:c>
      <x:c r="L5" s="116" t="n">
        <x:f>IF(ABS(1-K5)&lt;0.0000001,"NC",(J5/I5-K5)/(1-K5))</x:f>
        <x:v>0</x:v>
      </x:c>
    </x:row>
    <x:row r="6">
      <x:c r="A6" s="106"/>
      <x:c r="B6" s="106"/>
      <x:c r="C6" s="106"/>
      <x:c r="D6" s="106"/>
      <x:c r="E6" s="106"/>
    </x:row>
    <x:row r="7">
      <x:c r="A7" s="39" t="str">
        <x:v>Morphologie</x:v>
      </x:c>
      <x:c r="B7" s="39" t="str">
        <x:v>benign_not_useful</x:v>
      </x:c>
      <x:c r="C7" s="39" t="n">
        <x:f>COUNTIF('Comparaison'!$H$2:$H$17,B7)</x:f>
        <x:v>0</x:v>
      </x:c>
      <x:c r="D7" s="39" t="n">
        <x:f>COUNTIF('Comparaison'!$I$2:$I$17,B7)</x:f>
        <x:v>1</x:v>
      </x:c>
      <x:c r="E7" s="39" t="n">
        <x:f>C7*D7</x:f>
        <x:v>0</x:v>
      </x:c>
    </x:row>
    <x:row r="8">
      <x:c r="A8" s="39" t="str">
        <x:v>Morphologie</x:v>
      </x:c>
      <x:c r="B8" s="39" t="str">
        <x:v>electrocoagulation_artifact</x:v>
      </x:c>
      <x:c r="C8" s="39" t="n">
        <x:f>COUNTIF('Comparaison'!$H$2:$H$17,B8)</x:f>
        <x:v>1</x:v>
      </x:c>
      <x:c r="D8" s="39" t="n">
        <x:f>COUNTIF('Comparaison'!$I$2:$I$17,B8)</x:f>
        <x:v>0</x:v>
      </x:c>
      <x:c r="E8" s="39" t="n">
        <x:f>C8*D8</x:f>
        <x:v>0</x:v>
      </x:c>
    </x:row>
    <x:row r="9">
      <x:c r="A9" s="39" t="str">
        <x:v>Morphologie</x:v>
      </x:c>
      <x:c r="B9" s="39" t="str">
        <x:v>fibrosis_stroma_benign</x:v>
      </x:c>
      <x:c r="C9" s="39" t="n">
        <x:f>COUNTIF('Comparaison'!$H$2:$H$17,B9)</x:f>
        <x:v>8</x:v>
      </x:c>
      <x:c r="D9" s="39" t="n">
        <x:f>COUNTIF('Comparaison'!$I$2:$I$17,B9)</x:f>
        <x:v>0</x:v>
      </x:c>
      <x:c r="E9" s="39" t="n">
        <x:f>C9*D9</x:f>
        <x:v>0</x:v>
      </x:c>
    </x:row>
    <x:row r="10">
      <x:c r="A10" s="39" t="str">
        <x:v>Morphologie</x:v>
      </x:c>
      <x:c r="B10" s="39" t="str">
        <x:v>generic_artifact</x:v>
      </x:c>
      <x:c r="C10" s="39" t="n">
        <x:f>COUNTIF('Comparaison'!$H$2:$H$17,B10)</x:f>
        <x:v>3</x:v>
      </x:c>
      <x:c r="D10" s="39" t="n">
        <x:f>COUNTIF('Comparaison'!$I$2:$I$17,B10)</x:f>
        <x:v>0</x:v>
      </x:c>
      <x:c r="E10" s="39" t="n">
        <x:f>C10*D10</x:f>
        <x:v>0</x:v>
      </x:c>
    </x:row>
    <x:row r="11">
      <x:c r="A11" s="39" t="str">
        <x:v>Morphologie</x:v>
      </x:c>
      <x:c r="B11" s="39" t="str">
        <x:v>necrosis_coagulation_benign</x:v>
      </x:c>
      <x:c r="C11" s="39" t="n">
        <x:f>COUNTIF('Comparaison'!$H$2:$H$17,B11)</x:f>
        <x:v>1</x:v>
      </x:c>
      <x:c r="D11" s="39" t="n">
        <x:f>COUNTIF('Comparaison'!$I$2:$I$17,B11)</x:f>
        <x:v>0</x:v>
      </x:c>
      <x:c r="E11" s="39" t="n">
        <x:f>C11*D11</x:f>
        <x:v>0</x:v>
      </x:c>
    </x:row>
    <x:row r="12">
      <x:c r="A12" s="39" t="str">
        <x:v>Morphologie</x:v>
      </x:c>
      <x:c r="B12" s="39" t="str">
        <x:v>other_hard_negative</x:v>
      </x:c>
      <x:c r="C12" s="39" t="n">
        <x:f>COUNTIF('Comparaison'!$H$2:$H$17,B12)</x:f>
        <x:v>0</x:v>
      </x:c>
      <x:c r="D12" s="39" t="n">
        <x:f>COUNTIF('Comparaison'!$I$2:$I$17,B12)</x:f>
        <x:v>2</x:v>
      </x:c>
      <x:c r="E12" s="39" t="n">
        <x:f>C12*D12</x:f>
        <x:v>0</x:v>
      </x:c>
    </x:row>
    <x:row r="13">
      <x:c r="A13" s="39" t="str">
        <x:v>Morphologie</x:v>
      </x:c>
      <x:c r="B13" s="39" t="str">
        <x:v>outside_node_adipose</x:v>
      </x:c>
      <x:c r="C13" s="39" t="n">
        <x:f>COUNTIF('Comparaison'!$H$2:$H$17,B13)</x:f>
        <x:v>0</x:v>
      </x:c>
      <x:c r="D13" s="39" t="n">
        <x:f>COUNTIF('Comparaison'!$I$2:$I$17,B13)</x:f>
        <x:v>10</x:v>
      </x:c>
      <x:c r="E13" s="39" t="n">
        <x:f>C13*D13</x:f>
        <x:v>0</x:v>
      </x:c>
    </x:row>
    <x:row r="14">
      <x:c r="A14" s="39" t="str">
        <x:v>Morphologie</x:v>
      </x:c>
      <x:c r="B14" s="39" t="str">
        <x:v>sinus_histiocytosis</x:v>
      </x:c>
      <x:c r="C14" s="39" t="n">
        <x:f>COUNTIF('Comparaison'!$H$2:$H$17,B14)</x:f>
        <x:v>1</x:v>
      </x:c>
      <x:c r="D14" s="39" t="n">
        <x:f>COUNTIF('Comparaison'!$I$2:$I$17,B14)</x:f>
        <x:v>1</x:v>
      </x:c>
      <x:c r="E14" s="39" t="n">
        <x:f>C14*D14</x:f>
        <x:v>1</x:v>
      </x:c>
    </x:row>
    <x:row r="15">
      <x:c r="A15" s="39" t="str">
        <x:v>Morphologie</x:v>
      </x:c>
      <x:c r="B15" s="39" t="str">
        <x:v>vessel_lumen</x:v>
      </x:c>
      <x:c r="C15" s="39" t="n">
        <x:f>COUNTIF('Comparaison'!$H$2:$H$17,B15)</x:f>
        <x:v>2</x:v>
      </x:c>
      <x:c r="D15" s="39" t="n">
        <x:f>COUNTIF('Comparaison'!$I$2:$I$17,B15)</x:f>
        <x:v>2</x:v>
      </x:c>
      <x:c r="E15" s="39" t="n">
        <x:f>C15*D15</x:f>
        <x:v>4</x:v>
      </x:c>
    </x:row>
    <x:row r="16">
      <x:c r="A16" s="39" t="str">
        <x:v>Morphologie</x:v>
      </x:c>
      <x:c r="B16" s="39" t="str">
        <x:v>(vide)</x:v>
      </x:c>
      <x:c r="C16" s="39" t="n">
        <x:f>COUNTBLANK('Comparaison'!$H$2:$H$17)</x:f>
        <x:v>0</x:v>
      </x:c>
      <x:c r="D16" s="39" t="n">
        <x:f>COUNTBLANK('Comparaison'!$I$2:$I$17)</x:f>
        <x:v>0</x:v>
      </x:c>
      <x:c r="E16" s="39" t="n">
        <x:f>C16*D16</x:f>
        <x:v>0</x:v>
      </x:c>
    </x:row>
    <x:row r="17">
      <x:c r="A17" s="106"/>
      <x:c r="B17" s="106"/>
      <x:c r="C17" s="106"/>
      <x:c r="D17" s="106"/>
      <x:c r="E17" s="106"/>
    </x:row>
    <x:row r="18">
      <x:c r="A18" s="106"/>
      <x:c r="B18" s="106"/>
      <x:c r="C18" s="106"/>
      <x:c r="D18" s="106"/>
      <x:c r="E18" s="106"/>
    </x:row>
    <x:row r="19">
      <x:c r="A19" s="39" t="str">
        <x:v>Difficulte</x:v>
      </x:c>
      <x:c r="B19" s="39" t="str">
        <x:v>hard_negative</x:v>
      </x:c>
      <x:c r="C19" s="39" t="n">
        <x:f>COUNTIF('Comparaison'!$K$2:$K$17,B19)</x:f>
        <x:v>16</x:v>
      </x:c>
      <x:c r="D19" s="39" t="n">
        <x:f>COUNTIF('Comparaison'!$L$2:$L$17,B19)</x:f>
        <x:v>15</x:v>
      </x:c>
      <x:c r="E19" s="39" t="n">
        <x:f>C19*D19</x:f>
        <x:v>240</x:v>
      </x:c>
    </x:row>
    <x:row r="20">
      <x:c r="A20" s="39" t="str">
        <x:v>Difficulte</x:v>
      </x:c>
      <x:c r="B20" s="39" t="str">
        <x:v>easy_or_not_useful</x:v>
      </x:c>
      <x:c r="C20" s="39" t="n">
        <x:f>COUNTIF('Comparaison'!$K$2:$K$17,B20)</x:f>
        <x:v>0</x:v>
      </x:c>
      <x:c r="D20" s="39" t="n">
        <x:f>COUNTIF('Comparaison'!$L$2:$L$17,B20)</x:f>
        <x:v>1</x:v>
      </x:c>
      <x:c r="E20" s="39" t="n">
        <x:f>C20*D20</x:f>
        <x:v>0</x:v>
      </x:c>
    </x:row>
    <x:row r="21">
      <x:c r="A21" s="39" t="str">
        <x:v>Difficulte</x:v>
      </x:c>
      <x:c r="B21" s="39" t="str">
        <x:v>uncertain</x:v>
      </x:c>
      <x:c r="C21" s="39" t="n">
        <x:f>COUNTIF('Comparaison'!$K$2:$K$17,B21)</x:f>
        <x:v>0</x:v>
      </x:c>
      <x:c r="D21" s="39" t="n">
        <x:f>COUNTIF('Comparaison'!$L$2:$L$17,B21)</x:f>
        <x:v>0</x:v>
      </x:c>
      <x:c r="E21" s="39" t="n">
        <x:f>C21*D21</x:f>
        <x:v>0</x:v>
      </x:c>
    </x:row>
    <x:row r="22">
      <x:c r="A22" s="39" t="str">
        <x:v>Difficulte</x:v>
      </x:c>
      <x:c r="B22" s="39" t="str">
        <x:v>reject</x:v>
      </x:c>
      <x:c r="C22" s="39" t="n">
        <x:f>COUNTIF('Comparaison'!$K$2:$K$17,B22)</x:f>
        <x:v>0</x:v>
      </x:c>
      <x:c r="D22" s="39" t="n">
        <x:f>COUNTIF('Comparaison'!$L$2:$L$17,B22)</x:f>
        <x:v>0</x:v>
      </x:c>
      <x:c r="E22" s="39" t="n">
        <x:f>C22*D22</x:f>
        <x:v>0</x:v>
      </x:c>
    </x:row>
    <x:row r="23">
      <x:c r="A23" s="39" t="str">
        <x:v>Difficulte</x:v>
      </x:c>
      <x:c r="B23" s="39" t="str">
        <x:v>(vide)</x:v>
      </x:c>
      <x:c r="C23" s="39" t="n">
        <x:f>COUNTBLANK('Comparaison'!$K$2:$K$17)</x:f>
        <x:v>0</x:v>
      </x:c>
      <x:c r="D23" s="39" t="n">
        <x:f>COUNTBLANK('Comparaison'!$L$2:$L$17)</x:f>
        <x:v>0</x:v>
      </x:c>
      <x:c r="E23" s="39" t="n">
        <x:f>C23*D23</x:f>
        <x:v>0</x:v>
      </x:c>
    </x:row>
    <x:row r="24">
      <x:c r="A24" s="106"/>
      <x:c r="B24" s="106"/>
      <x:c r="C24" s="106"/>
      <x:c r="D24" s="106"/>
      <x:c r="E24" s="106"/>
    </x:row>
    <x:row r="25">
      <x:c r="A25" s="106"/>
      <x:c r="B25" s="106"/>
      <x:c r="C25" s="106"/>
      <x:c r="D25" s="106"/>
      <x:c r="E25" s="106"/>
    </x:row>
    <x:row r="26">
      <x:c r="A26" s="39" t="str">
        <x:v>Inclusion</x:v>
      </x:c>
      <x:c r="B26" s="39" t="str">
        <x:v>yes</x:v>
      </x:c>
      <x:c r="C26" s="39" t="n">
        <x:f>COUNTIF('Comparaison'!$N$2:$N$17,B26)</x:f>
        <x:v>16</x:v>
      </x:c>
      <x:c r="D26" s="39" t="n">
        <x:f>COUNTIF('Comparaison'!$O$2:$O$17,B26)</x:f>
        <x:v>15</x:v>
      </x:c>
      <x:c r="E26" s="39" t="n">
        <x:f>C26*D26</x:f>
        <x:v>240</x:v>
      </x:c>
    </x:row>
    <x:row r="27">
      <x:c r="A27" s="39" t="str">
        <x:v>Inclusion</x:v>
      </x:c>
      <x:c r="B27" s="39" t="str">
        <x:v>no</x:v>
      </x:c>
      <x:c r="C27" s="39" t="n">
        <x:f>COUNTIF('Comparaison'!$N$2:$N$17,B27)</x:f>
        <x:v>0</x:v>
      </x:c>
      <x:c r="D27" s="39" t="n">
        <x:f>COUNTIF('Comparaison'!$O$2:$O$17,B27)</x:f>
        <x:v>1</x:v>
      </x:c>
      <x:c r="E27" s="39" t="n">
        <x:f>C27*D27</x:f>
        <x:v>0</x:v>
      </x:c>
    </x:row>
    <x:row r="28">
      <x:c r="A28" s="40" t="str">
        <x:v>Inclusion</x:v>
      </x:c>
      <x:c r="B28" s="40" t="str">
        <x:v>(vide)</x:v>
      </x:c>
      <x:c r="C28" s="40" t="n">
        <x:f>COUNTBLANK('Comparaison'!$N$2:$N$17)</x:f>
        <x:v>0</x:v>
      </x:c>
      <x:c r="D28" s="40" t="n">
        <x:f>COUNTBLANK('Comparaison'!$O$2:$O$17)</x:f>
        <x:v>0</x:v>
      </x:c>
      <x:c r="E28" s="40" t="n">
        <x:f>C28*D28</x:f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42" hidden="0" customWidth="1"/>
  </x:cols>
  <x:sheetData>
    <x:row r="1" ht="30" customHeight="1">
      <x:c r="A1" s="124" t="str">
        <x:v>Correction du masque tissulaire — impact WSI</x:v>
      </x:c>
      <x:c r="B1" s="124" t="str">
        <x:v>Correction du masque tissulaire — impact WSI</x:v>
      </x:c>
      <x:c r="C1" s="124" t="str">
        <x:v>Correction du masque tissulaire — impact WSI</x:v>
      </x:c>
      <x:c r="D1" s="124" t="str">
        <x:v>Correction du masque tissulaire — impact WSI</x:v>
      </x:c>
      <x:c r="E1" s="124" t="str">
        <x:v>Correction du masque tissulaire — impact WSI</x:v>
      </x:c>
      <x:c r="F1" s="124" t="str">
        <x:v>Correction du masque tissulaire — impact WSI</x:v>
      </x:c>
      <x:c r="G1" s="124" t="str">
        <x:v>Correction du masque tissulaire — impact WSI</x:v>
      </x:c>
      <x:c r="H1" s="124" t="str">
        <x:v>Correction du masque tissulaire — impact WSI</x:v>
      </x:c>
    </x:row>
    <x:row r="2">
      <x:c r="A2" s="160" t="str">
        <x:v>Les resultats historiques utilisaient le masque Otsu brut. Le pipeline utilise maintenant le masque nettoye explicite.</x:v>
      </x:c>
    </x:row>
    <x:row r="4">
      <x:c r="A4" s="72" t="str">
        <x:v>Masque</x:v>
      </x:c>
      <x:c r="B4" s="73" t="str">
        <x:v>Modele</x:v>
      </x:c>
      <x:c r="C4" s="73" t="str">
        <x:v>Lames FP</x:v>
      </x:c>
      <x:c r="D4" s="73" t="str">
        <x:v>N lames</x:v>
      </x:c>
      <x:c r="E4" s="73" t="str">
        <x:v>Specificite</x:v>
      </x:c>
      <x:c r="F4" s="73" t="str">
        <x:v>Patchs positifs</x:v>
      </x:c>
      <x:c r="G4" s="73" t="str">
        <x:v>Composante max</x:v>
      </x:c>
      <x:c r="H4" s="74" t="str">
        <x:v>Commentaire</x:v>
      </x:c>
    </x:row>
    <x:row r="5">
      <x:c r="A5" s="38" t="str">
        <x:v>Brut historique</x:v>
      </x:c>
      <x:c r="B5" s="38" t="str">
        <x:v>iter2</x:v>
      </x:c>
      <x:c r="C5" s="38" t="n">
        <x:v>4</x:v>
      </x:c>
      <x:c r="D5" s="38" t="n">
        <x:v>5</x:v>
      </x:c>
      <x:c r="E5" s="108" t="n">
        <x:f>1-C5/D5</x:f>
        <x:v>0.19999999999999996</x:v>
      </x:c>
      <x:c r="F5" s="162" t="n">
        <x:v>26749</x:v>
      </x:c>
      <x:c r="G5" s="162" t="n">
        <x:v>1043</x:v>
      </x:c>
      <x:c r="H5" s="134" t="str">
        <x:v>normal_035 incluse a tort</x:v>
      </x:c>
    </x:row>
    <x:row r="6">
      <x:c r="A6" s="39" t="str">
        <x:v>Nettoye corrige</x:v>
      </x:c>
      <x:c r="B6" s="39" t="str">
        <x:v>iter2</x:v>
      </x:c>
      <x:c r="C6" s="39" t="n">
        <x:v>3</x:v>
      </x:c>
      <x:c r="D6" s="39" t="n">
        <x:v>5</x:v>
      </x:c>
      <x:c r="E6" s="109" t="n">
        <x:f>1-C6/D6</x:f>
        <x:v>0.4</x:v>
      </x:c>
      <x:c r="F6" s="163" t="n">
        <x:v>31157</x:v>
      </x:c>
      <x:c r="G6" s="163" t="n">
        <x:v>1047</x:v>
      </x:c>
      <x:c r="H6" s="135" t="str">
        <x:v>normal_035 corrigee</x:v>
      </x:c>
    </x:row>
    <x:row r="7">
      <x:c r="A7" s="39" t="str">
        <x:v>Brut historique</x:v>
      </x:c>
      <x:c r="B7" s="39" t="str">
        <x:v>iter6</x:v>
      </x:c>
      <x:c r="C7" s="39" t="n">
        <x:v>3</x:v>
      </x:c>
      <x:c r="D7" s="39" t="n">
        <x:v>5</x:v>
      </x:c>
      <x:c r="E7" s="109" t="n">
        <x:f>1-C7/D7</x:f>
        <x:v>0.4</x:v>
      </x:c>
      <x:c r="F7" s="163" t="n">
        <x:v>8655</x:v>
      </x:c>
      <x:c r="G7" s="163" t="n">
        <x:v>100</x:v>
      </x:c>
      <x:c r="H7" s="135" t="str">
        <x:v>normal_035 incluse a tort</x:v>
      </x:c>
    </x:row>
    <x:row r="8">
      <x:c r="A8" s="40" t="str">
        <x:v>Nettoye corrige</x:v>
      </x:c>
      <x:c r="B8" s="40" t="str">
        <x:v>iter6</x:v>
      </x:c>
      <x:c r="C8" s="40" t="n">
        <x:v>4</x:v>
      </x:c>
      <x:c r="D8" s="40" t="n">
        <x:v>5</x:v>
      </x:c>
      <x:c r="E8" s="110" t="n">
        <x:f>1-C8/D8</x:f>
        <x:v>0.19999999999999996</x:v>
      </x:c>
      <x:c r="F8" s="164" t="n">
        <x:v>14356</x:v>
      </x:c>
      <x:c r="G8" s="164" t="n">
        <x:v>425</x:v>
      </x:c>
      <x:c r="H8" s="136" t="str">
        <x:v>normal_035 corrigee; nouveaux centres internes</x:v>
      </x:c>
    </x:row>
    <x:row r="10">
      <x:c r="A10" s="100" t="str">
        <x:v>Lame</x:v>
      </x:c>
      <x:c r="B10" s="101" t="str">
        <x:v>iter2 patchs +</x:v>
      </x:c>
      <x:c r="C10" s="101" t="str">
        <x:v>iter2 comp. max</x:v>
      </x:c>
      <x:c r="D10" s="101" t="str">
        <x:v>iter2 FP</x:v>
      </x:c>
      <x:c r="E10" s="101" t="str">
        <x:v>iter6 patchs +</x:v>
      </x:c>
      <x:c r="F10" s="101" t="str">
        <x:v>iter6 comp. max</x:v>
      </x:c>
      <x:c r="G10" s="102" t="str">
        <x:v>iter6 FP</x:v>
      </x:c>
    </x:row>
    <x:row r="11">
      <x:c r="A11" s="38" t="str">
        <x:v>normal_033</x:v>
      </x:c>
      <x:c r="B11" s="162" t="n">
        <x:v>1136</x:v>
      </x:c>
      <x:c r="C11" s="162" t="n">
        <x:v>35</x:v>
      </x:c>
      <x:c r="D11" s="38" t="str">
        <x:v>non</x:v>
      </x:c>
      <x:c r="E11" s="162" t="n">
        <x:v>1165</x:v>
      </x:c>
      <x:c r="F11" s="162" t="n">
        <x:v>55</x:v>
      </x:c>
      <x:c r="G11" s="38" t="str">
        <x:v>oui</x:v>
      </x:c>
    </x:row>
    <x:row r="12">
      <x:c r="A12" s="39" t="str">
        <x:v>normal_034</x:v>
      </x:c>
      <x:c r="B12" s="163" t="n">
        <x:v>14386</x:v>
      </x:c>
      <x:c r="C12" s="163" t="n">
        <x:v>762</x:v>
      </x:c>
      <x:c r="D12" s="39" t="str">
        <x:v>oui</x:v>
      </x:c>
      <x:c r="E12" s="163" t="n">
        <x:v>6353</x:v>
      </x:c>
      <x:c r="F12" s="163" t="n">
        <x:v>425</x:v>
      </x:c>
      <x:c r="G12" s="39" t="str">
        <x:v>oui</x:v>
      </x:c>
    </x:row>
    <x:row r="13">
      <x:c r="A13" s="39" t="str">
        <x:v>normal_035</x:v>
      </x:c>
      <x:c r="B13" s="163" t="n">
        <x:v>286</x:v>
      </x:c>
      <x:c r="C13" s="163" t="n">
        <x:v>16</x:v>
      </x:c>
      <x:c r="D13" s="39" t="str">
        <x:v>non</x:v>
      </x:c>
      <x:c r="E13" s="163" t="n">
        <x:v>429</x:v>
      </x:c>
      <x:c r="F13" s="163" t="n">
        <x:v>35</x:v>
      </x:c>
      <x:c r="G13" s="39" t="str">
        <x:v>non</x:v>
      </x:c>
    </x:row>
    <x:row r="14">
      <x:c r="A14" s="39" t="str">
        <x:v>normal_036</x:v>
      </x:c>
      <x:c r="B14" s="163" t="n">
        <x:v>5735</x:v>
      </x:c>
      <x:c r="C14" s="163" t="n">
        <x:v>1047</x:v>
      </x:c>
      <x:c r="D14" s="39" t="str">
        <x:v>oui</x:v>
      </x:c>
      <x:c r="E14" s="163" t="n">
        <x:v>1355</x:v>
      </x:c>
      <x:c r="F14" s="163" t="n">
        <x:v>45</x:v>
      </x:c>
      <x:c r="G14" s="39" t="str">
        <x:v>oui</x:v>
      </x:c>
    </x:row>
    <x:row r="15">
      <x:c r="A15" s="40" t="str">
        <x:v>normal_037</x:v>
      </x:c>
      <x:c r="B15" s="164" t="n">
        <x:v>9614</x:v>
      </x:c>
      <x:c r="C15" s="164" t="n">
        <x:v>885</x:v>
      </x:c>
      <x:c r="D15" s="40" t="str">
        <x:v>oui</x:v>
      </x:c>
      <x:c r="E15" s="164" t="n">
        <x:v>5054</x:v>
      </x:c>
      <x:c r="F15" s="164" t="n">
        <x:v>161</x:v>
      </x:c>
      <x:c r="G15" s="40" t="str">
        <x:v>oui</x:v>
      </x:c>
    </x:row>
    <x:row r="17">
      <x:c r="A17" s="140" t="str">
        <x:v>Interpretation</x:v>
      </x:c>
    </x:row>
    <x:row r="18">
      <x:c r="A18" s="146" t="str">
        <x:v>• normal_035 devient negative pour les deux modeles; ses 10 composantes sont des erreurs de masque/ROI.</x:v>
      </x:c>
    </x:row>
    <x:row r="19">
      <x:c r="A19" s="154" t="str">
        <x:v>• Le masque nettoye ajoute aussi des centres dans les masses fermees/dilatees: il ne s'agit pas d'un simple sous-ensemble du masque brut.</x:v>
      </x:c>
    </x:row>
    <x:row r="20">
      <x:c r="A20" s="146" t="str">
        <x:v>• Sous le masque corrige, iter6 reduit la charge de FP mais a 4/5 lames FP contre 3/5 pour iter2.</x:v>
      </x:c>
    </x:row>
    <x:row r="21">
      <x:c r="A21" s="154" t="str">
        <x:v>• Aucun nouveau hard mining ne doit etre lance avant l'audit visuel des overlays du masque corrige.</x:v>
      </x:c>
    </x:row>
  </x:sheetData>
  <x:mergeCells>
    <x:mergeCell ref="A1:H1"/>
    <x:mergeCell ref="A2:H2"/>
    <x:mergeCell ref="A17:H17"/>
    <x:mergeCell ref="A18:H18"/>
    <x:mergeCell ref="A19:H19"/>
    <x:mergeCell ref="A20:H20"/>
    <x:mergeCell ref="A21:H2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3" hidden="0" customWidth="1"/>
    <x:col min="3" max="3" width="50" hidden="0" customWidth="1"/>
    <x:col min="4" max="4" width="17" hidden="0" customWidth="1"/>
    <x:col min="5" max="5" width="17" hidden="0" customWidth="1"/>
    <x:col min="6" max="6" width="17" hidden="0" customWidth="1"/>
    <x:col min="7" max="7" width="48" hidden="0" customWidth="1"/>
  </x:cols>
  <x:sheetData>
    <x:row r="1" ht="30" customHeight="1">
      <x:c r="A1" s="124" t="str">
        <x:v>Comparaison inter-observateurs — iter6, faux positifs WSI</x:v>
      </x:c>
      <x:c r="B1" s="124" t="str">
        <x:v>Comparaison inter-observateurs — iter6, faux positifs WSI</x:v>
      </x:c>
      <x:c r="C1" s="124" t="str">
        <x:v>Comparaison inter-observateurs — iter6, faux positifs WSI</x:v>
      </x:c>
      <x:c r="D1" s="124" t="str">
        <x:v>Comparaison inter-observateurs — iter6, faux positifs WSI</x:v>
      </x:c>
      <x:c r="E1" s="124" t="str">
        <x:v>Comparaison inter-observateurs — iter6, faux positifs WSI</x:v>
      </x:c>
      <x:c r="F1" s="124" t="str">
        <x:v>Comparaison inter-observateurs — iter6, faux positifs WSI</x:v>
      </x:c>
      <x:c r="G1" s="124" t="str">
        <x:v>Comparaison inter-observateurs — iter6, faux positifs WSI</x:v>
      </x:c>
    </x:row>
    <x:row r="2">
      <x:c r="A2" s="128" t="str">
        <x:v>16 composantes normales revues independamment par un interne et un PH — analyse du 2026-07-25</x:v>
      </x:c>
    </x:row>
    <x:row r="3">
      <x:c r="A3" s="132" t="str">
        <x:v>Sources: E:/camelyon16_project/portable_review_packs/iter6_unseen_train_fp_review_junior/review_junior.csv | E:/camelyon16_project/portable_review_packs/iter6_unseen_train_fp_review_ph/review_ph.csv</x:v>
      </x:c>
    </x:row>
    <x:row r="5">
      <x:c r="A5" s="72" t="str">
        <x:v>Champ</x:v>
      </x:c>
      <x:c r="B5" s="73" t="str">
        <x:v>Cas apparies</x:v>
      </x:c>
      <x:c r="C5" s="73" t="str">
        <x:v>Accords exacts</x:v>
      </x:c>
      <x:c r="D5" s="73" t="str">
        <x:v>Accord brut</x:v>
      </x:c>
      <x:c r="E5" s="73" t="str">
        <x:v>Accord attendu</x:v>
      </x:c>
      <x:c r="F5" s="73" t="str">
        <x:v>Kappa</x:v>
      </x:c>
      <x:c r="G5" s="74" t="str">
        <x:v>Lecture prudente</x:v>
      </x:c>
    </x:row>
    <x:row r="6">
      <x:c r="A6" s="38" t="str">
        <x:v>Binaire</x:v>
      </x:c>
      <x:c r="B6" s="38" t="n">
        <x:f>'Calculs'!I2</x:f>
        <x:v>16</x:v>
      </x:c>
      <x:c r="C6" s="38" t="n">
        <x:f>'Calculs'!J2</x:f>
        <x:v>16</x:v>
      </x:c>
      <x:c r="D6" s="108" t="n">
        <x:f>C6/B6</x:f>
        <x:v>1</x:v>
      </x:c>
      <x:c r="E6" s="108" t="n">
        <x:f>'Calculs'!K2</x:f>
        <x:v>1</x:v>
      </x:c>
      <x:c r="F6" s="114" t="str">
        <x:f>'Calculs'!L2</x:f>
        <x:v>NC</x:v>
      </x:c>
      <x:c r="G6" s="134" t="str">
        <x:v>Accord parfait; kappa non calculable car une seule categorie est utilisee.</x:v>
      </x:c>
    </x:row>
    <x:row r="7">
      <x:c r="A7" s="39" t="str">
        <x:v>Morphologie</x:v>
      </x:c>
      <x:c r="B7" s="39" t="n">
        <x:f>'Calculs'!I3</x:f>
        <x:v>16</x:v>
      </x:c>
      <x:c r="C7" s="39" t="n">
        <x:f>'Calculs'!J3</x:f>
        <x:v>3</x:v>
      </x:c>
      <x:c r="D7" s="109" t="n">
        <x:f>C7/B7</x:f>
        <x:v>0.1875</x:v>
      </x:c>
      <x:c r="E7" s="109" t="n">
        <x:f>'Calculs'!K3</x:f>
        <x:v>0.01953125</x:v>
      </x:c>
      <x:c r="F7" s="115" t="n">
        <x:f>'Calculs'!L3</x:f>
        <x:v>0.17131474103585656</x:v>
      </x:c>
      <x:c r="G7" s="135" t="str">
        <x:v>Accord faible sur la classification morphologique fine.</x:v>
      </x:c>
    </x:row>
    <x:row r="8">
      <x:c r="A8" s="39" t="str">
        <x:v>Difficulte</x:v>
      </x:c>
      <x:c r="B8" s="39" t="n">
        <x:f>'Calculs'!I4</x:f>
        <x:v>16</x:v>
      </x:c>
      <x:c r="C8" s="39" t="n">
        <x:f>'Calculs'!J4</x:f>
        <x:v>15</x:v>
      </x:c>
      <x:c r="D8" s="109" t="n">
        <x:f>C8/B8</x:f>
        <x:v>0.9375</x:v>
      </x:c>
      <x:c r="E8" s="109" t="n">
        <x:f>'Calculs'!K4</x:f>
        <x:v>0.9375</x:v>
      </x:c>
      <x:c r="F8" s="115" t="n">
        <x:f>'Calculs'!L4</x:f>
        <x:v>0</x:v>
      </x:c>
      <x:c r="G8" s="135" t="str">
        <x:v>Accord brut eleve; kappa nul car le junior n'utilise qu'une categorie.</x:v>
      </x:c>
    </x:row>
    <x:row r="9">
      <x:c r="A9" s="40" t="str">
        <x:v>Inclusion hard negative</x:v>
      </x:c>
      <x:c r="B9" s="40" t="n">
        <x:f>'Calculs'!I5</x:f>
        <x:v>16</x:v>
      </x:c>
      <x:c r="C9" s="40" t="n">
        <x:f>'Calculs'!J5</x:f>
        <x:v>15</x:v>
      </x:c>
      <x:c r="D9" s="110" t="n">
        <x:f>C9/B9</x:f>
        <x:v>0.9375</x:v>
      </x:c>
      <x:c r="E9" s="110" t="n">
        <x:f>'Calculs'!K5</x:f>
        <x:v>0.9375</x:v>
      </x:c>
      <x:c r="F9" s="116" t="n">
        <x:f>'Calculs'!L5</x:f>
        <x:v>0</x:v>
      </x:c>
      <x:c r="G9" s="136" t="str">
        <x:v>Accord brut eleve; kappa nul car le junior repond toujours oui.</x:v>
      </x:c>
    </x:row>
    <x:row r="11">
      <x:c r="A11" s="140" t="str">
        <x:v>Constats principaux</x:v>
      </x:c>
    </x:row>
    <x:row r="12" ht="30" customHeight="1">
      <x:c r="A12" s="148" t="str">
        <x:v>• Les deux observateurs classent les 16 composantes comme normales: accord binaire 16/16 (100%).</x:v>
      </x:c>
    </x:row>
    <x:row r="13" ht="30" customHeight="1">
      <x:c r="A13" s="156" t="str">
        <x:v>• L'accord morphologique exact est de 3/16 (18,8%); kappa = 0,171, a interpreter avec prudence sur ce petit effectif.</x:v>
      </x:c>
    </x:row>
    <x:row r="14" ht="30" customHeight="1">
      <x:c r="A14" s="148" t="str">
        <x:v>• Apres revue WSI, les 10 composantes de normal_035 sont hors ganglion: le desaccord initial vient du manque de contexte et du masque brut.</x:v>
      </x:c>
    </x:row>
    <x:row r="15" ht="30" customHeight="1">
      <x:c r="A15" s="156" t="str">
        <x:v>• L'accord sur la difficulte et l'inclusion est de 15/16 (93,8%). L'unique divergence est normal_037 composante 1.</x:v>
      </x:c>
    </x:row>
    <x:row r="16" ht="30" customHeight="1">
      <x:c r="A16" s="148" t="str">
        <x:v>• Hors normal_035, l'accord morphologique initial est de 3/6 (50%); ce sous-resultat reste descriptif vu le tres petit effectif.</x:v>
      </x:c>
    </x:row>
    <x:row r="17" ht="30" customHeight="1">
      <x:c r="A17" s="156" t="str">
        <x:v>• Le kappa brut reste une mesure de la revue aveugle des patchs et ne doit pas etre presente comme un desaccord histologique pur.</x:v>
      </x:c>
    </x:row>
    <x:row r="18">
      <x:c r="A18" s="158" t="str">
        <x:v>Points de discussion prioritaire</x:v>
      </x:c>
    </x:row>
    <x:row r="19">
      <x:c r="A19" s="100" t="str">
        <x:v>Cas</x:v>
      </x:c>
      <x:c r="B19" s="101" t="str">
        <x:v>Divergence</x:v>
      </x:c>
      <x:c r="C19" s="102" t="str">
        <x:v>Question de consensus</x:v>
      </x:c>
    </x:row>
    <x:row r="20">
      <x:c r="A20" s="134" t="str">
        <x:v>normal_035, C1-C10</x:v>
      </x:c>
      <x:c r="B20" s="134" t="str">
        <x:v>Cause resolue: zones hors ganglion / masque brut</x:v>
      </x:c>
      <x:c r="C20" s="134" t="str">
        <x:v>Noter outside_roi et exclure de l'injection classifieur.</x:v>
      </x:c>
    </x:row>
    <x:row r="21">
      <x:c r="A21" s="135" t="str">
        <x:v>normal_037, C1</x:v>
      </x:c>
      <x:c r="B21" s="135" t="str">
        <x:v>Necrose utile vs benin non utile</x:v>
      </x:c>
      <x:c r="C21" s="135" t="str">
        <x:v>Inclure ou non comme hard negative ?</x:v>
      </x:c>
    </x:row>
    <x:row r="22">
      <x:c r="A22" s="136" t="str">
        <x:v>normal_034, C1 et C4</x:v>
      </x:c>
      <x:c r="B22" s="136" t="str">
        <x:v>Categorie precise differente</x:v>
      </x:c>
      <x:c r="C22" s="136" t="str">
        <x:v>Categorie generique ou sous-type morphologique ?</x:v>
      </x:c>
    </x:row>
  </x:sheetData>
  <x:mergeCells>
    <x:mergeCell ref="A1:G1"/>
    <x:mergeCell ref="A2:G2"/>
    <x:mergeCell ref="A3:G3"/>
    <x:mergeCell ref="A11:G11"/>
    <x:mergeCell ref="A12:G12"/>
    <x:mergeCell ref="A13:G13"/>
    <x:mergeCell ref="A14:G14"/>
    <x:mergeCell ref="A15:G15"/>
    <x:mergeCell ref="A16:G16"/>
    <x:mergeCell ref="A17:G17"/>
    <x:mergeCell ref="A18:G18"/>
  </x:mergeCells>
  <x:pageMargins left="0.7" right="0.7" top="0.75" bottom="0.75" header="0.3" footer="0.3"/>
</x:worksheet>
</file>